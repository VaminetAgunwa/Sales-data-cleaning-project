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c03ba8fb64e9b3/Documents/"/>
    </mc:Choice>
  </mc:AlternateContent>
  <xr:revisionPtr revIDLastSave="1" documentId="8_{DF6D1273-B27E-41D8-A6A8-0D424388EBD0}" xr6:coauthVersionLast="47" xr6:coauthVersionMax="47" xr10:uidLastSave="{F1CB2107-A770-41F5-B6D7-A8411BD7CDA6}"/>
  <bookViews>
    <workbookView xWindow="-110" yWindow="-110" windowWidth="19420" windowHeight="11020" xr2:uid="{365B43AF-C821-4049-A153-D20455497555}"/>
  </bookViews>
  <sheets>
    <sheet name="Cleaned dat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C3" i="2"/>
  <c r="C4" i="2"/>
  <c r="H21" i="2"/>
  <c r="H22" i="2"/>
  <c r="H23" i="2"/>
  <c r="H2" i="2"/>
  <c r="H24" i="2"/>
  <c r="H25" i="2"/>
  <c r="H26" i="2"/>
  <c r="H3" i="2"/>
  <c r="H2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K21" i="2"/>
  <c r="K22" i="2"/>
  <c r="K23" i="2"/>
  <c r="K2" i="2"/>
  <c r="K24" i="2"/>
  <c r="K25" i="2"/>
  <c r="K26" i="2"/>
  <c r="K3" i="2"/>
  <c r="K2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</calcChain>
</file>

<file path=xl/sharedStrings.xml><?xml version="1.0" encoding="utf-8"?>
<sst xmlns="http://schemas.openxmlformats.org/spreadsheetml/2006/main" count="171" uniqueCount="40">
  <si>
    <t>Order_ID</t>
  </si>
  <si>
    <t>Order Date</t>
  </si>
  <si>
    <t>Customer Name</t>
  </si>
  <si>
    <t>Region</t>
  </si>
  <si>
    <t>Product</t>
  </si>
  <si>
    <t>Category</t>
  </si>
  <si>
    <t>Quantity</t>
  </si>
  <si>
    <t>Payment Method</t>
  </si>
  <si>
    <t>Unit Price</t>
  </si>
  <si>
    <t>Status</t>
  </si>
  <si>
    <t>Electronics</t>
  </si>
  <si>
    <t>Cash</t>
  </si>
  <si>
    <t>Mary Johnson</t>
  </si>
  <si>
    <t>Headphones</t>
  </si>
  <si>
    <t>Pending</t>
  </si>
  <si>
    <t>Returned</t>
  </si>
  <si>
    <t>Laptop</t>
  </si>
  <si>
    <t>Ship_Date</t>
  </si>
  <si>
    <t>Total Sales</t>
  </si>
  <si>
    <t>John Doe</t>
  </si>
  <si>
    <t>Credit Card</t>
  </si>
  <si>
    <t>Completed</t>
  </si>
  <si>
    <t>Phone</t>
  </si>
  <si>
    <t>David Smith</t>
  </si>
  <si>
    <t>Tablet</t>
  </si>
  <si>
    <t>Debit Card</t>
  </si>
  <si>
    <t>Jane Lee</t>
  </si>
  <si>
    <t>Chris Brown</t>
  </si>
  <si>
    <t>Cancelled</t>
  </si>
  <si>
    <t>Michael Scott</t>
  </si>
  <si>
    <t>Sarah Connor</t>
  </si>
  <si>
    <t>Column1</t>
  </si>
  <si>
    <t>Unknown</t>
  </si>
  <si>
    <t>Quantity Status</t>
  </si>
  <si>
    <t>WEST</t>
  </si>
  <si>
    <t>EAST</t>
  </si>
  <si>
    <t>NORTH</t>
  </si>
  <si>
    <t>SOUTH</t>
  </si>
  <si>
    <t>Not Specified</t>
  </si>
  <si>
    <t>Order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</si>
</sst>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FD8CA-7CC5-4535-BF47-7CB4A49D2401}" name="Table1" displayName="Table1" ref="A1:O27" totalsRowShown="0">
  <autoFilter ref="A1:O27" xr:uid="{A7BC903F-B30C-4744-BAFB-C08D96DAF9BC}"/>
  <sortState xmlns:xlrd2="http://schemas.microsoft.com/office/spreadsheetml/2017/richdata2" ref="A2:O27">
    <sortCondition ref="D1:D27"/>
  </sortState>
  <tableColumns count="15">
    <tableColumn id="1" xr3:uid="{423A5410-2AB7-43AE-AEBC-DCEAFDF2DB4F}" name="Order_ID"/>
    <tableColumn id="2" xr3:uid="{AA717921-C9A7-4177-86AB-0AE76AB6EEEA}" name="Order Date" dataDxfId="3"/>
    <tableColumn id="13" xr3:uid="{A520B691-A85A-4DD1-A319-80FC1BD05AE6}" name="Order Month" dataDxfId="2">
      <calculatedColumnFormula>TEXT(Table1[Order Date],"mmm")</calculatedColumnFormula>
    </tableColumn>
    <tableColumn id="3" xr3:uid="{128D2B9E-D3FC-4A72-A2B2-33E00153B621}" name="Ship_Date"/>
    <tableColumn id="4" xr3:uid="{45F2E923-5840-45DB-9AC5-344577F9DD3A}" name="Customer Name"/>
    <tableColumn id="5" xr3:uid="{13D41A46-A1AC-4CC5-9E99-A4841408250C}" name="Region"/>
    <tableColumn id="6" xr3:uid="{85C1B8B3-557A-4682-AC3E-324BFEDD4E57}" name="Product"/>
    <tableColumn id="25" xr3:uid="{A58B0AD5-CA47-470F-8593-458A6A365435}" name="Column1" dataDxfId="1">
      <calculatedColumnFormula>PROPER(TRIM(G2))</calculatedColumnFormula>
    </tableColumn>
    <tableColumn id="7" xr3:uid="{11A96ABC-F548-492D-AA35-83E22573946F}" name="Category"/>
    <tableColumn id="8" xr3:uid="{CD0166CA-1C28-4E61-9170-7A2552DAA2E5}" name="Quantity"/>
    <tableColumn id="19" xr3:uid="{EA1AC826-E0CB-4AC4-89F0-17EE73FE4348}" name="Quantity Status" dataDxfId="0">
      <calculatedColumnFormula>IF(J2&lt;0,"Returned","Sold")</calculatedColumnFormula>
    </tableColumn>
    <tableColumn id="9" xr3:uid="{D324472D-B838-473A-867E-D5E4B489A664}" name="Unit Price"/>
    <tableColumn id="10" xr3:uid="{4E95612E-C6B6-48C6-A4D1-14B5D2334304}" name="Total Sales"/>
    <tableColumn id="11" xr3:uid="{A000E646-EE26-4E4B-A306-BC15C8CF3F7E}" name="Payment Method"/>
    <tableColumn id="12" xr3:uid="{93934CF1-78BA-439E-85B0-57A0A8914C14}" name="Statu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D6A3-09B1-4897-92F2-7ECD3E75E18F}">
  <dimension ref="A1:O27"/>
  <sheetViews>
    <sheetView tabSelected="1" topLeftCell="C3" zoomScale="89" zoomScaleNormal="89" workbookViewId="0">
      <selection activeCell="J6" sqref="J6"/>
    </sheetView>
  </sheetViews>
  <sheetFormatPr defaultRowHeight="14.5" x14ac:dyDescent="0.35"/>
  <cols>
    <col min="1" max="1" width="12" customWidth="1"/>
    <col min="2" max="4" width="13.08984375" customWidth="1"/>
    <col min="5" max="5" width="16.6328125" customWidth="1"/>
    <col min="6" max="6" width="15.54296875" customWidth="1"/>
    <col min="7" max="7" width="14.08984375" customWidth="1"/>
    <col min="8" max="8" width="12.36328125" customWidth="1"/>
    <col min="9" max="10" width="12.6328125" customWidth="1"/>
    <col min="11" max="11" width="15.54296875" customWidth="1"/>
    <col min="12" max="12" width="10.90625" customWidth="1"/>
    <col min="13" max="13" width="12.453125" customWidth="1"/>
    <col min="14" max="14" width="16.90625" customWidth="1"/>
    <col min="15" max="15" width="17.453125" customWidth="1"/>
    <col min="16" max="16" width="18.90625" customWidth="1"/>
  </cols>
  <sheetData>
    <row r="1" spans="1:15" x14ac:dyDescent="0.35">
      <c r="A1" t="s">
        <v>0</v>
      </c>
      <c r="B1" t="s">
        <v>1</v>
      </c>
      <c r="C1" t="s">
        <v>39</v>
      </c>
      <c r="D1" s="1" t="s">
        <v>17</v>
      </c>
      <c r="E1" t="s">
        <v>2</v>
      </c>
      <c r="F1" t="s">
        <v>3</v>
      </c>
      <c r="G1" t="s">
        <v>4</v>
      </c>
      <c r="H1" t="s">
        <v>31</v>
      </c>
      <c r="I1" t="s">
        <v>5</v>
      </c>
      <c r="J1" t="s">
        <v>6</v>
      </c>
      <c r="K1" t="s">
        <v>33</v>
      </c>
      <c r="L1" t="s">
        <v>8</v>
      </c>
      <c r="M1" t="s">
        <v>18</v>
      </c>
      <c r="N1" t="s">
        <v>7</v>
      </c>
      <c r="O1" t="s">
        <v>9</v>
      </c>
    </row>
    <row r="2" spans="1:15" x14ac:dyDescent="0.35">
      <c r="A2">
        <v>1004</v>
      </c>
      <c r="B2" s="1">
        <v>44934</v>
      </c>
      <c r="C2" s="1" t="str">
        <f>TEXT(Table1[Order Date],"mmm")</f>
        <v>Jan</v>
      </c>
      <c r="D2" s="1">
        <v>44934</v>
      </c>
      <c r="E2" t="s">
        <v>26</v>
      </c>
      <c r="F2" t="s">
        <v>37</v>
      </c>
      <c r="G2" t="s">
        <v>13</v>
      </c>
      <c r="H2" t="str">
        <f t="shared" ref="H2:H27" si="0">PROPER(TRIM(G2))</f>
        <v>Headphones</v>
      </c>
      <c r="I2" t="s">
        <v>10</v>
      </c>
      <c r="J2">
        <v>5</v>
      </c>
      <c r="K2" t="str">
        <f t="shared" ref="K2:K27" si="1">IF(J2&lt;0,"Returned","Sold")</f>
        <v>Sold</v>
      </c>
      <c r="L2">
        <v>50</v>
      </c>
      <c r="M2">
        <v>250</v>
      </c>
      <c r="N2" t="s">
        <v>20</v>
      </c>
      <c r="O2" t="s">
        <v>21</v>
      </c>
    </row>
    <row r="3" spans="1:15" x14ac:dyDescent="0.35">
      <c r="A3">
        <v>1008</v>
      </c>
      <c r="B3" s="1">
        <v>44937</v>
      </c>
      <c r="C3" s="1" t="str">
        <f>TEXT(Table1[Order Date],"mmm")</f>
        <v>Jan</v>
      </c>
      <c r="D3" s="1">
        <v>44937</v>
      </c>
      <c r="E3" t="s">
        <v>30</v>
      </c>
      <c r="F3" t="s">
        <v>37</v>
      </c>
      <c r="G3" t="s">
        <v>24</v>
      </c>
      <c r="H3" t="str">
        <f t="shared" si="0"/>
        <v>Tablet</v>
      </c>
      <c r="I3" t="s">
        <v>10</v>
      </c>
      <c r="J3">
        <v>2</v>
      </c>
      <c r="K3" t="str">
        <f t="shared" si="1"/>
        <v>Sold</v>
      </c>
      <c r="L3">
        <v>300</v>
      </c>
      <c r="M3">
        <v>600</v>
      </c>
      <c r="N3" t="s">
        <v>20</v>
      </c>
      <c r="O3" t="s">
        <v>21</v>
      </c>
    </row>
    <row r="4" spans="1:15" x14ac:dyDescent="0.35">
      <c r="A4">
        <v>1010</v>
      </c>
      <c r="B4" s="1">
        <v>44939</v>
      </c>
      <c r="C4" s="1" t="str">
        <f>TEXT(Table1[Order Date],"mmm")</f>
        <v>Jan</v>
      </c>
      <c r="D4" s="1">
        <v>44939</v>
      </c>
      <c r="E4" t="s">
        <v>12</v>
      </c>
      <c r="F4" t="s">
        <v>35</v>
      </c>
      <c r="G4" t="s">
        <v>22</v>
      </c>
      <c r="H4" t="str">
        <f t="shared" si="0"/>
        <v>Phone</v>
      </c>
      <c r="I4" t="s">
        <v>10</v>
      </c>
      <c r="J4">
        <v>1</v>
      </c>
      <c r="K4" t="str">
        <f t="shared" si="1"/>
        <v>Sold</v>
      </c>
      <c r="L4">
        <v>500</v>
      </c>
      <c r="M4">
        <v>500</v>
      </c>
      <c r="N4" t="s">
        <v>11</v>
      </c>
      <c r="O4" t="s">
        <v>21</v>
      </c>
    </row>
    <row r="5" spans="1:15" x14ac:dyDescent="0.35">
      <c r="A5">
        <v>1011</v>
      </c>
      <c r="B5" s="1">
        <v>44940</v>
      </c>
      <c r="C5" s="1" t="str">
        <f>TEXT(Table1[Order Date],"mmm")</f>
        <v>Jan</v>
      </c>
      <c r="D5" s="1">
        <v>44940</v>
      </c>
      <c r="E5" t="s">
        <v>23</v>
      </c>
      <c r="F5" t="s">
        <v>36</v>
      </c>
      <c r="G5" t="s">
        <v>24</v>
      </c>
      <c r="H5" t="str">
        <f t="shared" si="0"/>
        <v>Tablet</v>
      </c>
      <c r="I5" t="s">
        <v>10</v>
      </c>
      <c r="J5">
        <v>2</v>
      </c>
      <c r="K5" t="str">
        <f t="shared" si="1"/>
        <v>Sold</v>
      </c>
      <c r="L5">
        <v>300</v>
      </c>
      <c r="M5">
        <v>600</v>
      </c>
      <c r="N5" t="s">
        <v>25</v>
      </c>
      <c r="O5" t="s">
        <v>21</v>
      </c>
    </row>
    <row r="6" spans="1:15" x14ac:dyDescent="0.35">
      <c r="A6">
        <v>1012</v>
      </c>
      <c r="B6" s="1">
        <v>44941</v>
      </c>
      <c r="C6" s="1" t="str">
        <f>TEXT(Table1[Order Date],"mmm")</f>
        <v>Jan</v>
      </c>
      <c r="D6" s="1">
        <v>44941</v>
      </c>
      <c r="E6" t="s">
        <v>26</v>
      </c>
      <c r="F6" t="s">
        <v>37</v>
      </c>
      <c r="G6" t="s">
        <v>13</v>
      </c>
      <c r="H6" t="str">
        <f t="shared" si="0"/>
        <v>Headphones</v>
      </c>
      <c r="I6" t="s">
        <v>10</v>
      </c>
      <c r="J6">
        <v>50</v>
      </c>
      <c r="K6" t="str">
        <f t="shared" si="1"/>
        <v>Sold</v>
      </c>
      <c r="L6">
        <v>50</v>
      </c>
      <c r="M6">
        <v>250</v>
      </c>
      <c r="N6" t="s">
        <v>20</v>
      </c>
      <c r="O6" t="s">
        <v>21</v>
      </c>
    </row>
    <row r="7" spans="1:15" x14ac:dyDescent="0.35">
      <c r="A7">
        <v>1013</v>
      </c>
      <c r="B7" s="1">
        <v>44942</v>
      </c>
      <c r="C7" s="1" t="str">
        <f>TEXT(Table1[Order Date],"mmm")</f>
        <v>Jan</v>
      </c>
      <c r="D7" s="1">
        <v>44942</v>
      </c>
      <c r="E7" t="s">
        <v>27</v>
      </c>
      <c r="F7" t="s">
        <v>34</v>
      </c>
      <c r="G7" t="s">
        <v>16</v>
      </c>
      <c r="H7" t="str">
        <f t="shared" si="0"/>
        <v>Laptop</v>
      </c>
      <c r="I7" t="s">
        <v>10</v>
      </c>
      <c r="J7">
        <v>1</v>
      </c>
      <c r="K7" t="str">
        <f t="shared" si="1"/>
        <v>Sold</v>
      </c>
      <c r="L7">
        <v>850</v>
      </c>
      <c r="M7">
        <v>850</v>
      </c>
      <c r="N7" t="s">
        <v>20</v>
      </c>
      <c r="O7" t="s">
        <v>21</v>
      </c>
    </row>
    <row r="8" spans="1:15" x14ac:dyDescent="0.35">
      <c r="A8">
        <v>1014</v>
      </c>
      <c r="B8" s="1">
        <v>44943</v>
      </c>
      <c r="C8" s="1" t="str">
        <f>TEXT(Table1[Order Date],"mmm")</f>
        <v>Jan</v>
      </c>
      <c r="D8" s="1">
        <v>44943</v>
      </c>
      <c r="E8" t="s">
        <v>12</v>
      </c>
      <c r="F8" t="s">
        <v>35</v>
      </c>
      <c r="G8" t="s">
        <v>22</v>
      </c>
      <c r="H8" t="str">
        <f t="shared" si="0"/>
        <v>Phone</v>
      </c>
      <c r="I8" t="s">
        <v>10</v>
      </c>
      <c r="J8">
        <v>1</v>
      </c>
      <c r="K8" t="str">
        <f t="shared" si="1"/>
        <v>Sold</v>
      </c>
      <c r="L8">
        <v>500</v>
      </c>
      <c r="M8">
        <v>500</v>
      </c>
      <c r="N8" t="s">
        <v>11</v>
      </c>
      <c r="O8" t="s">
        <v>21</v>
      </c>
    </row>
    <row r="9" spans="1:15" x14ac:dyDescent="0.35">
      <c r="A9">
        <v>1015</v>
      </c>
      <c r="B9" s="1">
        <v>44944</v>
      </c>
      <c r="C9" s="1" t="str">
        <f>TEXT(Table1[Order Date],"mmm")</f>
        <v>Jan</v>
      </c>
      <c r="D9" s="1">
        <v>44944</v>
      </c>
      <c r="E9" t="s">
        <v>23</v>
      </c>
      <c r="F9" t="s">
        <v>36</v>
      </c>
      <c r="G9" t="s">
        <v>24</v>
      </c>
      <c r="H9" t="str">
        <f t="shared" si="0"/>
        <v>Tablet</v>
      </c>
      <c r="I9" t="s">
        <v>10</v>
      </c>
      <c r="J9">
        <v>2</v>
      </c>
      <c r="K9" t="str">
        <f t="shared" si="1"/>
        <v>Sold</v>
      </c>
      <c r="L9">
        <v>300</v>
      </c>
      <c r="M9">
        <v>600</v>
      </c>
      <c r="N9" t="s">
        <v>25</v>
      </c>
      <c r="O9" t="s">
        <v>14</v>
      </c>
    </row>
    <row r="10" spans="1:15" x14ac:dyDescent="0.35">
      <c r="A10">
        <v>1016</v>
      </c>
      <c r="B10" s="1">
        <v>44945</v>
      </c>
      <c r="C10" s="1" t="str">
        <f>TEXT(Table1[Order Date],"mmm")</f>
        <v>Jan</v>
      </c>
      <c r="D10" s="1">
        <v>44945</v>
      </c>
      <c r="E10" t="s">
        <v>26</v>
      </c>
      <c r="F10" t="s">
        <v>37</v>
      </c>
      <c r="G10" t="s">
        <v>13</v>
      </c>
      <c r="H10" t="str">
        <f t="shared" si="0"/>
        <v>Headphones</v>
      </c>
      <c r="I10" t="s">
        <v>10</v>
      </c>
      <c r="J10">
        <v>3</v>
      </c>
      <c r="K10" t="str">
        <f t="shared" si="1"/>
        <v>Sold</v>
      </c>
      <c r="L10">
        <v>50</v>
      </c>
      <c r="M10">
        <v>150</v>
      </c>
      <c r="N10" t="s">
        <v>20</v>
      </c>
      <c r="O10" t="s">
        <v>21</v>
      </c>
    </row>
    <row r="11" spans="1:15" x14ac:dyDescent="0.35">
      <c r="A11">
        <v>1017</v>
      </c>
      <c r="B11" s="1">
        <v>44946</v>
      </c>
      <c r="C11" s="1" t="str">
        <f>TEXT(Table1[Order Date],"mmm")</f>
        <v>Jan</v>
      </c>
      <c r="D11" s="1">
        <v>44946</v>
      </c>
      <c r="E11" t="s">
        <v>27</v>
      </c>
      <c r="F11" t="s">
        <v>34</v>
      </c>
      <c r="G11" t="s">
        <v>16</v>
      </c>
      <c r="H11" t="str">
        <f t="shared" si="0"/>
        <v>Laptop</v>
      </c>
      <c r="I11" t="s">
        <v>10</v>
      </c>
      <c r="J11">
        <v>1</v>
      </c>
      <c r="K11" t="str">
        <f t="shared" si="1"/>
        <v>Sold</v>
      </c>
      <c r="L11">
        <v>850</v>
      </c>
      <c r="M11">
        <v>850</v>
      </c>
      <c r="N11" t="s">
        <v>20</v>
      </c>
      <c r="O11" t="s">
        <v>21</v>
      </c>
    </row>
    <row r="12" spans="1:15" x14ac:dyDescent="0.35">
      <c r="A12">
        <v>1018</v>
      </c>
      <c r="B12" s="1">
        <v>44947</v>
      </c>
      <c r="C12" s="1" t="str">
        <f>TEXT(Table1[Order Date],"mmm")</f>
        <v>Jan</v>
      </c>
      <c r="D12" s="1">
        <v>44947</v>
      </c>
      <c r="E12" t="s">
        <v>29</v>
      </c>
      <c r="F12" t="s">
        <v>36</v>
      </c>
      <c r="G12" t="s">
        <v>24</v>
      </c>
      <c r="H12" t="str">
        <f t="shared" si="0"/>
        <v>Tablet</v>
      </c>
      <c r="I12" t="s">
        <v>10</v>
      </c>
      <c r="J12">
        <v>2</v>
      </c>
      <c r="K12" t="str">
        <f t="shared" si="1"/>
        <v>Sold</v>
      </c>
      <c r="L12">
        <v>300</v>
      </c>
      <c r="M12">
        <v>600</v>
      </c>
      <c r="N12" t="s">
        <v>25</v>
      </c>
      <c r="O12" t="s">
        <v>21</v>
      </c>
    </row>
    <row r="13" spans="1:15" x14ac:dyDescent="0.35">
      <c r="A13">
        <v>1019</v>
      </c>
      <c r="B13" s="1">
        <v>44948</v>
      </c>
      <c r="C13" s="1" t="str">
        <f>TEXT(Table1[Order Date],"mmm")</f>
        <v>Jan</v>
      </c>
      <c r="D13" s="1">
        <v>44948</v>
      </c>
      <c r="E13" t="s">
        <v>30</v>
      </c>
      <c r="F13" t="s">
        <v>37</v>
      </c>
      <c r="G13" t="s">
        <v>22</v>
      </c>
      <c r="H13" t="str">
        <f t="shared" si="0"/>
        <v>Phone</v>
      </c>
      <c r="I13" t="s">
        <v>10</v>
      </c>
      <c r="J13">
        <v>1</v>
      </c>
      <c r="K13" t="str">
        <f t="shared" si="1"/>
        <v>Sold</v>
      </c>
      <c r="L13">
        <v>500</v>
      </c>
      <c r="M13">
        <v>500</v>
      </c>
      <c r="N13" t="s">
        <v>11</v>
      </c>
      <c r="O13" t="s">
        <v>21</v>
      </c>
    </row>
    <row r="14" spans="1:15" x14ac:dyDescent="0.35">
      <c r="A14">
        <v>1020</v>
      </c>
      <c r="B14" s="1">
        <v>44949</v>
      </c>
      <c r="C14" s="1" t="str">
        <f>TEXT(Table1[Order Date],"mmm")</f>
        <v>Jan</v>
      </c>
      <c r="D14" s="1">
        <v>44949</v>
      </c>
      <c r="E14" t="s">
        <v>19</v>
      </c>
      <c r="F14" t="s">
        <v>34</v>
      </c>
      <c r="G14" t="s">
        <v>16</v>
      </c>
      <c r="H14" t="str">
        <f t="shared" si="0"/>
        <v>Laptop</v>
      </c>
      <c r="I14" t="s">
        <v>10</v>
      </c>
      <c r="J14">
        <v>2</v>
      </c>
      <c r="K14" t="str">
        <f t="shared" si="1"/>
        <v>Sold</v>
      </c>
      <c r="L14">
        <v>850</v>
      </c>
      <c r="M14">
        <v>1700</v>
      </c>
      <c r="N14" t="s">
        <v>20</v>
      </c>
      <c r="O14" t="s">
        <v>21</v>
      </c>
    </row>
    <row r="15" spans="1:15" x14ac:dyDescent="0.35">
      <c r="A15">
        <v>1021</v>
      </c>
      <c r="B15" s="1">
        <v>44950</v>
      </c>
      <c r="C15" s="1" t="str">
        <f>TEXT(Table1[Order Date],"mmm")</f>
        <v>Jan</v>
      </c>
      <c r="D15" s="1">
        <v>44950</v>
      </c>
      <c r="E15" t="s">
        <v>12</v>
      </c>
      <c r="F15" t="s">
        <v>35</v>
      </c>
      <c r="G15" t="s">
        <v>22</v>
      </c>
      <c r="H15" t="str">
        <f t="shared" si="0"/>
        <v>Phone</v>
      </c>
      <c r="I15" t="s">
        <v>10</v>
      </c>
      <c r="J15">
        <v>1</v>
      </c>
      <c r="K15" t="str">
        <f t="shared" si="1"/>
        <v>Sold</v>
      </c>
      <c r="L15">
        <v>500</v>
      </c>
      <c r="M15">
        <v>500</v>
      </c>
      <c r="N15" t="s">
        <v>11</v>
      </c>
      <c r="O15" t="s">
        <v>21</v>
      </c>
    </row>
    <row r="16" spans="1:15" x14ac:dyDescent="0.35">
      <c r="A16">
        <v>1022</v>
      </c>
      <c r="B16" s="1">
        <v>44951</v>
      </c>
      <c r="C16" s="1" t="str">
        <f>TEXT(Table1[Order Date],"mmm")</f>
        <v>Jan</v>
      </c>
      <c r="D16" s="1">
        <v>44951</v>
      </c>
      <c r="E16" t="s">
        <v>23</v>
      </c>
      <c r="F16" t="s">
        <v>36</v>
      </c>
      <c r="G16" t="s">
        <v>24</v>
      </c>
      <c r="H16" t="str">
        <f t="shared" si="0"/>
        <v>Tablet</v>
      </c>
      <c r="I16" t="s">
        <v>10</v>
      </c>
      <c r="J16">
        <v>2</v>
      </c>
      <c r="K16" t="str">
        <f t="shared" si="1"/>
        <v>Sold</v>
      </c>
      <c r="L16">
        <v>300</v>
      </c>
      <c r="M16">
        <v>600</v>
      </c>
      <c r="N16" t="s">
        <v>25</v>
      </c>
      <c r="O16" t="s">
        <v>21</v>
      </c>
    </row>
    <row r="17" spans="1:15" x14ac:dyDescent="0.35">
      <c r="A17">
        <v>1023</v>
      </c>
      <c r="B17" s="1">
        <v>44952</v>
      </c>
      <c r="C17" s="1" t="str">
        <f>TEXT(Table1[Order Date],"mmm")</f>
        <v>Jan</v>
      </c>
      <c r="D17" s="1">
        <v>44952</v>
      </c>
      <c r="E17" t="s">
        <v>26</v>
      </c>
      <c r="F17" t="s">
        <v>37</v>
      </c>
      <c r="G17" t="s">
        <v>13</v>
      </c>
      <c r="H17" t="str">
        <f t="shared" si="0"/>
        <v>Headphones</v>
      </c>
      <c r="I17" t="s">
        <v>10</v>
      </c>
      <c r="J17">
        <v>3</v>
      </c>
      <c r="K17" t="str">
        <f t="shared" si="1"/>
        <v>Sold</v>
      </c>
      <c r="L17">
        <v>50</v>
      </c>
      <c r="M17">
        <v>150</v>
      </c>
      <c r="N17" t="s">
        <v>20</v>
      </c>
      <c r="O17" t="s">
        <v>21</v>
      </c>
    </row>
    <row r="18" spans="1:15" x14ac:dyDescent="0.35">
      <c r="A18">
        <v>1024</v>
      </c>
      <c r="B18" s="1">
        <v>44953</v>
      </c>
      <c r="C18" s="1" t="str">
        <f>TEXT(Table1[Order Date],"mmm")</f>
        <v>Jan</v>
      </c>
      <c r="D18" s="1">
        <v>44953</v>
      </c>
      <c r="E18" t="s">
        <v>27</v>
      </c>
      <c r="F18" t="s">
        <v>34</v>
      </c>
      <c r="G18" t="s">
        <v>16</v>
      </c>
      <c r="H18" t="str">
        <f t="shared" si="0"/>
        <v>Laptop</v>
      </c>
      <c r="I18" t="s">
        <v>10</v>
      </c>
      <c r="J18">
        <v>1</v>
      </c>
      <c r="K18" t="str">
        <f t="shared" si="1"/>
        <v>Sold</v>
      </c>
      <c r="L18">
        <v>850</v>
      </c>
      <c r="M18">
        <v>850</v>
      </c>
      <c r="N18" t="s">
        <v>20</v>
      </c>
      <c r="O18" t="s">
        <v>21</v>
      </c>
    </row>
    <row r="19" spans="1:15" x14ac:dyDescent="0.35">
      <c r="A19">
        <v>1025</v>
      </c>
      <c r="B19" s="1">
        <v>44954</v>
      </c>
      <c r="C19" s="1" t="str">
        <f>TEXT(Table1[Order Date],"mmm")</f>
        <v>Jan</v>
      </c>
      <c r="D19" s="1">
        <v>44954</v>
      </c>
      <c r="E19" t="s">
        <v>29</v>
      </c>
      <c r="F19" t="s">
        <v>36</v>
      </c>
      <c r="G19" t="s">
        <v>24</v>
      </c>
      <c r="H19" t="str">
        <f t="shared" si="0"/>
        <v>Tablet</v>
      </c>
      <c r="I19" t="s">
        <v>10</v>
      </c>
      <c r="J19">
        <v>2</v>
      </c>
      <c r="K19" t="str">
        <f t="shared" si="1"/>
        <v>Sold</v>
      </c>
      <c r="L19">
        <v>300</v>
      </c>
      <c r="M19">
        <v>600</v>
      </c>
      <c r="N19" t="s">
        <v>25</v>
      </c>
      <c r="O19" t="s">
        <v>21</v>
      </c>
    </row>
    <row r="20" spans="1:15" x14ac:dyDescent="0.35">
      <c r="A20">
        <v>1026</v>
      </c>
      <c r="B20" s="1">
        <v>44955</v>
      </c>
      <c r="C20" s="1" t="str">
        <f>TEXT(Table1[Order Date],"mmm")</f>
        <v>Jan</v>
      </c>
      <c r="D20" s="1">
        <v>44955</v>
      </c>
      <c r="E20" t="s">
        <v>30</v>
      </c>
      <c r="F20" t="s">
        <v>37</v>
      </c>
      <c r="G20" t="s">
        <v>22</v>
      </c>
      <c r="H20" t="str">
        <f t="shared" si="0"/>
        <v>Phone</v>
      </c>
      <c r="I20" t="s">
        <v>10</v>
      </c>
      <c r="J20">
        <v>1</v>
      </c>
      <c r="K20" t="str">
        <f t="shared" si="1"/>
        <v>Sold</v>
      </c>
      <c r="L20">
        <v>500</v>
      </c>
      <c r="M20">
        <v>500</v>
      </c>
      <c r="N20" t="s">
        <v>11</v>
      </c>
      <c r="O20" t="s">
        <v>21</v>
      </c>
    </row>
    <row r="21" spans="1:15" x14ac:dyDescent="0.35">
      <c r="A21">
        <v>1001</v>
      </c>
      <c r="B21" s="1">
        <v>45047</v>
      </c>
      <c r="C21" s="1" t="str">
        <f>TEXT(Table1[Order Date],"mmm")</f>
        <v>May</v>
      </c>
      <c r="D21" s="1">
        <v>45047</v>
      </c>
      <c r="E21" t="s">
        <v>19</v>
      </c>
      <c r="F21" t="s">
        <v>34</v>
      </c>
      <c r="G21" t="s">
        <v>16</v>
      </c>
      <c r="H21" t="str">
        <f t="shared" si="0"/>
        <v>Laptop</v>
      </c>
      <c r="I21" t="s">
        <v>10</v>
      </c>
      <c r="J21">
        <v>2</v>
      </c>
      <c r="K21" t="str">
        <f t="shared" si="1"/>
        <v>Sold</v>
      </c>
      <c r="L21">
        <v>850</v>
      </c>
      <c r="M21">
        <v>1700</v>
      </c>
      <c r="N21" t="s">
        <v>20</v>
      </c>
      <c r="O21" t="s">
        <v>21</v>
      </c>
    </row>
    <row r="22" spans="1:15" x14ac:dyDescent="0.35">
      <c r="A22">
        <v>1002</v>
      </c>
      <c r="B22" s="1">
        <v>45078</v>
      </c>
      <c r="C22" s="1" t="str">
        <f>TEXT(Table1[Order Date],"mmm")</f>
        <v>Jun</v>
      </c>
      <c r="D22" s="1">
        <v>45078</v>
      </c>
      <c r="E22" t="s">
        <v>12</v>
      </c>
      <c r="F22" t="s">
        <v>35</v>
      </c>
      <c r="G22" t="s">
        <v>22</v>
      </c>
      <c r="H22" t="str">
        <f t="shared" si="0"/>
        <v>Phone</v>
      </c>
      <c r="I22" t="s">
        <v>10</v>
      </c>
      <c r="J22">
        <v>1</v>
      </c>
      <c r="K22" t="str">
        <f t="shared" si="1"/>
        <v>Sold</v>
      </c>
      <c r="L22">
        <v>500</v>
      </c>
      <c r="M22">
        <v>500</v>
      </c>
      <c r="N22" t="s">
        <v>11</v>
      </c>
      <c r="O22" t="s">
        <v>21</v>
      </c>
    </row>
    <row r="23" spans="1:15" x14ac:dyDescent="0.35">
      <c r="A23">
        <v>1003</v>
      </c>
      <c r="B23" s="1">
        <v>45108</v>
      </c>
      <c r="C23" s="1" t="str">
        <f>TEXT(Table1[Order Date],"mmm")</f>
        <v>Jul</v>
      </c>
      <c r="D23" s="1">
        <v>45108</v>
      </c>
      <c r="E23" t="s">
        <v>23</v>
      </c>
      <c r="F23" t="s">
        <v>36</v>
      </c>
      <c r="G23" t="s">
        <v>24</v>
      </c>
      <c r="H23" t="str">
        <f t="shared" si="0"/>
        <v>Tablet</v>
      </c>
      <c r="I23" t="s">
        <v>10</v>
      </c>
      <c r="J23">
        <v>3</v>
      </c>
      <c r="K23" t="str">
        <f t="shared" si="1"/>
        <v>Sold</v>
      </c>
      <c r="L23">
        <v>300</v>
      </c>
      <c r="M23">
        <v>900</v>
      </c>
      <c r="N23" t="s">
        <v>25</v>
      </c>
      <c r="O23" t="s">
        <v>14</v>
      </c>
    </row>
    <row r="24" spans="1:15" x14ac:dyDescent="0.35">
      <c r="A24">
        <v>1005</v>
      </c>
      <c r="B24" s="1">
        <v>45170</v>
      </c>
      <c r="C24" s="1" t="str">
        <f>TEXT(Table1[Order Date],"mmm")</f>
        <v>Sep</v>
      </c>
      <c r="D24" s="1">
        <v>45170</v>
      </c>
      <c r="E24" t="s">
        <v>27</v>
      </c>
      <c r="F24" t="s">
        <v>34</v>
      </c>
      <c r="G24" t="s">
        <v>16</v>
      </c>
      <c r="H24" t="str">
        <f t="shared" si="0"/>
        <v>Laptop</v>
      </c>
      <c r="I24" t="s">
        <v>10</v>
      </c>
      <c r="J24">
        <v>1</v>
      </c>
      <c r="K24" t="str">
        <f t="shared" si="1"/>
        <v>Sold</v>
      </c>
      <c r="L24">
        <v>850</v>
      </c>
      <c r="M24">
        <v>850</v>
      </c>
      <c r="N24" t="s">
        <v>38</v>
      </c>
      <c r="O24" t="s">
        <v>21</v>
      </c>
    </row>
    <row r="25" spans="1:15" x14ac:dyDescent="0.35">
      <c r="A25">
        <v>1006</v>
      </c>
      <c r="B25" s="1">
        <v>45200</v>
      </c>
      <c r="C25" s="1" t="str">
        <f>TEXT(Table1[Order Date],"mmm")</f>
        <v>Oct</v>
      </c>
      <c r="D25" s="1">
        <v>45200</v>
      </c>
      <c r="E25" t="s">
        <v>32</v>
      </c>
      <c r="F25" t="s">
        <v>35</v>
      </c>
      <c r="G25" t="s">
        <v>22</v>
      </c>
      <c r="H25" t="str">
        <f t="shared" si="0"/>
        <v>Phone</v>
      </c>
      <c r="I25" t="s">
        <v>10</v>
      </c>
      <c r="J25">
        <v>2</v>
      </c>
      <c r="K25" t="str">
        <f t="shared" si="1"/>
        <v>Sold</v>
      </c>
      <c r="L25">
        <v>500</v>
      </c>
      <c r="M25">
        <v>1000</v>
      </c>
      <c r="N25" t="s">
        <v>11</v>
      </c>
      <c r="O25" t="s">
        <v>28</v>
      </c>
    </row>
    <row r="26" spans="1:15" x14ac:dyDescent="0.35">
      <c r="A26">
        <v>1007</v>
      </c>
      <c r="B26" s="1">
        <v>45231</v>
      </c>
      <c r="C26" s="1" t="str">
        <f>TEXT(Table1[Order Date],"mmm")</f>
        <v>Nov</v>
      </c>
      <c r="D26" s="1">
        <v>45231</v>
      </c>
      <c r="E26" t="s">
        <v>29</v>
      </c>
      <c r="F26" t="s">
        <v>36</v>
      </c>
      <c r="G26" t="s">
        <v>32</v>
      </c>
      <c r="H26" t="str">
        <f t="shared" si="0"/>
        <v>Unknown</v>
      </c>
      <c r="I26" t="s">
        <v>10</v>
      </c>
      <c r="J26">
        <v>1</v>
      </c>
      <c r="K26" t="str">
        <f t="shared" si="1"/>
        <v>Sold</v>
      </c>
      <c r="L26">
        <v>300</v>
      </c>
      <c r="M26">
        <v>300</v>
      </c>
      <c r="N26" t="s">
        <v>25</v>
      </c>
      <c r="O26" t="s">
        <v>21</v>
      </c>
    </row>
    <row r="27" spans="1:15" x14ac:dyDescent="0.35">
      <c r="A27">
        <v>1009</v>
      </c>
      <c r="B27" s="1">
        <v>45261</v>
      </c>
      <c r="C27" s="1" t="str">
        <f>TEXT(Table1[Order Date],"mmm")</f>
        <v>Dec</v>
      </c>
      <c r="D27" s="1">
        <v>45261</v>
      </c>
      <c r="E27" t="s">
        <v>19</v>
      </c>
      <c r="F27" t="s">
        <v>34</v>
      </c>
      <c r="G27" t="s">
        <v>16</v>
      </c>
      <c r="H27" t="str">
        <f t="shared" si="0"/>
        <v>Laptop</v>
      </c>
      <c r="I27" t="s">
        <v>10</v>
      </c>
      <c r="J27">
        <v>-1</v>
      </c>
      <c r="K27" t="str">
        <f t="shared" si="1"/>
        <v>Returned</v>
      </c>
      <c r="L27">
        <v>850</v>
      </c>
      <c r="M27">
        <v>-850</v>
      </c>
      <c r="N27" t="s">
        <v>20</v>
      </c>
      <c r="O27" t="s">
        <v>15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AGUNWA</dc:creator>
  <cp:lastModifiedBy>Precious Agunwa</cp:lastModifiedBy>
  <dcterms:created xsi:type="dcterms:W3CDTF">2026-04-25T02:35:25Z</dcterms:created>
  <dcterms:modified xsi:type="dcterms:W3CDTF">2026-04-28T11:40:44Z</dcterms:modified>
</cp:coreProperties>
</file>
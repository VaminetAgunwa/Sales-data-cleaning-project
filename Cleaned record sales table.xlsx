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GUNWA\Downloads\"/>
    </mc:Choice>
  </mc:AlternateContent>
  <xr:revisionPtr revIDLastSave="7" documentId="13_ncr:1_{4F677F82-6048-422F-80DA-3765D6E1E6A5}" xr6:coauthVersionLast="47" xr6:coauthVersionMax="47" xr10:uidLastSave="{3D8CBAEB-11EA-4829-945B-8E4DDA60D9F0}"/>
  <bookViews>
    <workbookView xWindow="-110" yWindow="-110" windowWidth="19420" windowHeight="11020" activeTab="3" xr2:uid="{365B43AF-C821-4049-A153-D20455497555}"/>
  </bookViews>
  <sheets>
    <sheet name="Record sales table" sheetId="1" r:id="rId1"/>
    <sheet name="Cleaned data" sheetId="2" r:id="rId2"/>
    <sheet name="Pivot Table" sheetId="3" r:id="rId3"/>
    <sheet name="DashBord" sheetId="4" r:id="rId4"/>
  </sheets>
  <definedNames>
    <definedName name="Slicer_Product">#N/A</definedName>
    <definedName name="Slicer_Region">#N/A</definedName>
    <definedName name="Slicer_Status">#N/A</definedName>
  </definedNames>
  <calcPr calcId="18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5" i="2" l="1"/>
  <c r="C6" i="2"/>
  <c r="C7" i="2"/>
  <c r="C8" i="2"/>
  <c r="C9" i="2"/>
  <c r="C10" i="2"/>
  <c r="C11" i="2"/>
  <c r="C12" i="2"/>
  <c r="C13" i="2"/>
  <c r="C14" i="2"/>
  <c r="C15" i="2"/>
  <c r="C16" i="2"/>
  <c r="C17" i="2"/>
  <c r="C18" i="2"/>
  <c r="C19" i="2"/>
  <c r="C20" i="2"/>
  <c r="C21" i="2"/>
  <c r="C22" i="2"/>
  <c r="C23" i="2"/>
  <c r="C24" i="2"/>
  <c r="C25" i="2"/>
  <c r="C26" i="2"/>
  <c r="C27" i="2"/>
  <c r="C2" i="2"/>
  <c r="C3" i="2"/>
  <c r="C4" i="2"/>
  <c r="H21" i="2"/>
  <c r="H22" i="2"/>
  <c r="H23" i="2"/>
  <c r="H2" i="2"/>
  <c r="H24" i="2"/>
  <c r="H25" i="2"/>
  <c r="H26" i="2"/>
  <c r="H3" i="2"/>
  <c r="H27" i="2"/>
  <c r="H4" i="2"/>
  <c r="H5" i="2"/>
  <c r="H6" i="2"/>
  <c r="H7" i="2"/>
  <c r="H8" i="2"/>
  <c r="H9" i="2"/>
  <c r="H10" i="2"/>
  <c r="H11" i="2"/>
  <c r="H12" i="2"/>
  <c r="H13" i="2"/>
  <c r="H14" i="2"/>
  <c r="H15" i="2"/>
  <c r="H16" i="2"/>
  <c r="H17" i="2"/>
  <c r="H18" i="2"/>
  <c r="H19" i="2"/>
  <c r="H20" i="2"/>
  <c r="K21" i="2"/>
  <c r="K22" i="2"/>
  <c r="K23" i="2"/>
  <c r="K2" i="2"/>
  <c r="K24" i="2"/>
  <c r="K25" i="2"/>
  <c r="K26" i="2"/>
  <c r="K3" i="2"/>
  <c r="K27" i="2"/>
  <c r="K4" i="2"/>
  <c r="K5" i="2"/>
  <c r="K6" i="2"/>
  <c r="K7" i="2"/>
  <c r="K8" i="2"/>
  <c r="K9" i="2"/>
  <c r="K10" i="2"/>
  <c r="K11" i="2"/>
  <c r="K12" i="2"/>
  <c r="K13" i="2"/>
  <c r="K14" i="2"/>
  <c r="K15" i="2"/>
  <c r="K16" i="2"/>
  <c r="K17" i="2"/>
  <c r="K18" i="2"/>
  <c r="K19" i="2"/>
  <c r="K20" i="2"/>
</calcChain>
</file>

<file path=xl/sharedStrings.xml><?xml version="1.0" encoding="utf-8"?>
<sst xmlns="http://schemas.openxmlformats.org/spreadsheetml/2006/main" count="389" uniqueCount="77">
  <si>
    <t>Order_ID</t>
  </si>
  <si>
    <t>Order Date</t>
  </si>
  <si>
    <t>Customer Name</t>
  </si>
  <si>
    <t>Region</t>
  </si>
  <si>
    <t>Product</t>
  </si>
  <si>
    <t>Category</t>
  </si>
  <si>
    <t>Quantity</t>
  </si>
  <si>
    <t>Payment Method</t>
  </si>
  <si>
    <t>Unit Price</t>
  </si>
  <si>
    <t>Status</t>
  </si>
  <si>
    <t>West</t>
  </si>
  <si>
    <t>Electronics</t>
  </si>
  <si>
    <t>Cash</t>
  </si>
  <si>
    <t>Mary Johnson</t>
  </si>
  <si>
    <t>South</t>
  </si>
  <si>
    <t>East</t>
  </si>
  <si>
    <t>Headphones</t>
  </si>
  <si>
    <t>Pending</t>
  </si>
  <si>
    <t>North</t>
  </si>
  <si>
    <t>Returned</t>
  </si>
  <si>
    <t>Laptop</t>
  </si>
  <si>
    <t>Ship_Date</t>
  </si>
  <si>
    <t>Total Sales</t>
  </si>
  <si>
    <t>John Doe</t>
  </si>
  <si>
    <t>Credit Card</t>
  </si>
  <si>
    <t>Completed</t>
  </si>
  <si>
    <t>Phone</t>
  </si>
  <si>
    <t>David Smith</t>
  </si>
  <si>
    <t>Tablet</t>
  </si>
  <si>
    <t>Debit Card</t>
  </si>
  <si>
    <t>Jane Lee</t>
  </si>
  <si>
    <t>Chris Brown</t>
  </si>
  <si>
    <t>Cancelled</t>
  </si>
  <si>
    <t>13-01-2023</t>
  </si>
  <si>
    <t>Michael Scott</t>
  </si>
  <si>
    <t>15/01/2023</t>
  </si>
  <si>
    <t>Sarah Connor</t>
  </si>
  <si>
    <t>15-01-2023</t>
  </si>
  <si>
    <t>16/01/2023</t>
  </si>
  <si>
    <t>17-01-2023</t>
  </si>
  <si>
    <t>abc</t>
  </si>
  <si>
    <t>18/01/2023</t>
  </si>
  <si>
    <t>19/01/2023</t>
  </si>
  <si>
    <t>21/01/2023</t>
  </si>
  <si>
    <t>22/01/2023</t>
  </si>
  <si>
    <t>23/01/2023</t>
  </si>
  <si>
    <t>24/01/2023</t>
  </si>
  <si>
    <t>25/01/2023</t>
  </si>
  <si>
    <t>26/01/2023</t>
  </si>
  <si>
    <t>27/01/2023</t>
  </si>
  <si>
    <t>28/01/2023</t>
  </si>
  <si>
    <t>29/01/2023</t>
  </si>
  <si>
    <t>30/01/2023</t>
  </si>
  <si>
    <t>31/01/2023</t>
  </si>
  <si>
    <t>Column1</t>
  </si>
  <si>
    <t>Unknown</t>
  </si>
  <si>
    <t>Quantity Status</t>
  </si>
  <si>
    <t>WEST</t>
  </si>
  <si>
    <t>EAST</t>
  </si>
  <si>
    <t>NORTH</t>
  </si>
  <si>
    <t>SOUTH</t>
  </si>
  <si>
    <t>Not Specified</t>
  </si>
  <si>
    <t>Sum of Total Sales</t>
  </si>
  <si>
    <t>Row Labels</t>
  </si>
  <si>
    <t>Grand Total</t>
  </si>
  <si>
    <t>Count of Order_ID</t>
  </si>
  <si>
    <t>Jan</t>
  </si>
  <si>
    <t>May</t>
  </si>
  <si>
    <t>Jun</t>
  </si>
  <si>
    <t>Jul</t>
  </si>
  <si>
    <t>Sep</t>
  </si>
  <si>
    <t>Oct</t>
  </si>
  <si>
    <t>Nov</t>
  </si>
  <si>
    <t>Dec</t>
  </si>
  <si>
    <t>Order Month</t>
  </si>
  <si>
    <t>Total Revenue</t>
  </si>
  <si>
    <t>Sales Performance Dashbord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</si>
</sst>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sz val="48"/>
      <color theme="0"/>
      <name val="Calibri"/>
      <family val="2"/>
      <scheme val="minor"/>
    </font>
  </fonts>
  <fills count="3">
    <fill>
      <patternFill patternType="none"/>
    </fill>
    <fill>
      <patternFill patternType="gray125"/>
    </fill>
    <fill>
      <patternFill patternType="solid">
        <fgColor theme="8"/>
        <bgColor indexed="64"/>
      </patternFill>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2" fillId="2" borderId="0" xfId="0" applyFont="1" applyFill="1" applyAlignment="1">
      <alignment horizontal="center" vertical="top"/>
    </xf>
    <xf numFmtId="0" fontId="0" fillId="2" borderId="0" xfId="0" applyFill="1" applyAlignment="1">
      <alignment horizontal="center" vertical="top"/>
    </xf>
  </cellXfs>
  <cellStyles count="1">
    <cellStyle name="Normal" xfId="0" builtinId="0"/>
  </cellStyles>
  <dxfs count="4">
    <dxf>
      <numFmt numFmtId="0" formatCode="General"/>
    </dxf>
    <dxf>
      <numFmt numFmtId="0" formatCode="General"/>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[Record Sales Table.xlsx]Pivot Table!PivotTable2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Sales By</a:t>
            </a:r>
            <a:r>
              <a:rPr lang="en-US" b="1" baseline="0"/>
              <a:t> Region</a:t>
            </a:r>
          </a:p>
          <a:p>
            <a:pPr>
              <a:defRPr/>
            </a:pPr>
            <a:endParaRPr lang="en-US"/>
          </a:p>
        </c:rich>
      </c:tx>
      <c:layout>
        <c:manualLayout>
          <c:xMode val="edge"/>
          <c:yMode val="edge"/>
          <c:x val="0.31156048675733716"/>
          <c:y val="4.54309317415530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Table'!$A$4:$A$8</c:f>
              <c:strCache>
                <c:ptCount val="4"/>
                <c:pt idx="0">
                  <c:v>EAST</c:v>
                </c:pt>
                <c:pt idx="1">
                  <c:v>NORTH</c:v>
                </c:pt>
                <c:pt idx="2">
                  <c:v>SOUTH</c:v>
                </c:pt>
                <c:pt idx="3">
                  <c:v>WEST</c:v>
                </c:pt>
              </c:strCache>
            </c:strRef>
          </c:cat>
          <c:val>
            <c:numRef>
              <c:f>'Pivot Table'!$B$4:$B$8</c:f>
              <c:numCache>
                <c:formatCode>General</c:formatCode>
                <c:ptCount val="4"/>
                <c:pt idx="0">
                  <c:v>3000</c:v>
                </c:pt>
                <c:pt idx="1">
                  <c:v>4200</c:v>
                </c:pt>
                <c:pt idx="2">
                  <c:v>2400</c:v>
                </c:pt>
                <c:pt idx="3">
                  <c:v>5950</c:v>
                </c:pt>
              </c:numCache>
            </c:numRef>
          </c:val>
          <c:extLst>
            <c:ext xmlns:c16="http://schemas.microsoft.com/office/drawing/2014/chart" uri="{C3380CC4-5D6E-409C-BE32-E72D297353CC}">
              <c16:uniqueId val="{00000000-517B-4643-A893-F84C2F303A34}"/>
            </c:ext>
          </c:extLst>
        </c:ser>
        <c:dLbls>
          <c:showLegendKey val="0"/>
          <c:showVal val="0"/>
          <c:showCatName val="0"/>
          <c:showSerName val="0"/>
          <c:showPercent val="0"/>
          <c:showBubbleSize val="0"/>
        </c:dLbls>
        <c:gapWidth val="219"/>
        <c:overlap val="-27"/>
        <c:axId val="1605136479"/>
        <c:axId val="1605135519"/>
      </c:barChart>
      <c:catAx>
        <c:axId val="16051364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Region</a:t>
                </a:r>
              </a:p>
            </c:rich>
          </c:tx>
          <c:layout>
            <c:manualLayout>
              <c:xMode val="edge"/>
              <c:yMode val="edge"/>
              <c:x val="0.45652911580894801"/>
              <c:y val="0.8343356464540476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135519"/>
        <c:crosses val="autoZero"/>
        <c:auto val="1"/>
        <c:lblAlgn val="ctr"/>
        <c:lblOffset val="100"/>
        <c:noMultiLvlLbl val="0"/>
      </c:catAx>
      <c:valAx>
        <c:axId val="16051355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Sum</a:t>
                </a:r>
                <a:r>
                  <a:rPr lang="en-US" b="1" baseline="0"/>
                  <a:t> of Total Sales</a:t>
                </a:r>
              </a:p>
              <a:p>
                <a:pPr>
                  <a:defRPr/>
                </a:pPr>
                <a:endParaRPr lang="en-US"/>
              </a:p>
            </c:rich>
          </c:tx>
          <c:layout>
            <c:manualLayout>
              <c:xMode val="edge"/>
              <c:yMode val="edge"/>
              <c:x val="2.7272747783317917E-2"/>
              <c:y val="0.3226233786846073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136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[Record Sales Table.xlsx]Pivot Table!PivotTable4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Product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Table'!$A$25:$A$30</c:f>
              <c:strCache>
                <c:ptCount val="5"/>
                <c:pt idx="0">
                  <c:v>Headphones</c:v>
                </c:pt>
                <c:pt idx="1">
                  <c:v>Laptop</c:v>
                </c:pt>
                <c:pt idx="2">
                  <c:v>Phone</c:v>
                </c:pt>
                <c:pt idx="3">
                  <c:v>Tablet</c:v>
                </c:pt>
                <c:pt idx="4">
                  <c:v>Unknown</c:v>
                </c:pt>
              </c:strCache>
            </c:strRef>
          </c:cat>
          <c:val>
            <c:numRef>
              <c:f>'Pivot Table'!$B$25:$B$30</c:f>
              <c:numCache>
                <c:formatCode>General</c:formatCode>
                <c:ptCount val="5"/>
                <c:pt idx="0">
                  <c:v>800</c:v>
                </c:pt>
                <c:pt idx="1">
                  <c:v>5950</c:v>
                </c:pt>
                <c:pt idx="2">
                  <c:v>4000</c:v>
                </c:pt>
                <c:pt idx="3">
                  <c:v>4500</c:v>
                </c:pt>
                <c:pt idx="4">
                  <c:v>300</c:v>
                </c:pt>
              </c:numCache>
            </c:numRef>
          </c:val>
          <c:smooth val="0"/>
          <c:extLst>
            <c:ext xmlns:c16="http://schemas.microsoft.com/office/drawing/2014/chart" uri="{C3380CC4-5D6E-409C-BE32-E72D297353CC}">
              <c16:uniqueId val="{00000000-7E3E-4A05-973F-719DF54C71BA}"/>
            </c:ext>
          </c:extLst>
        </c:ser>
        <c:dLbls>
          <c:showLegendKey val="0"/>
          <c:showVal val="0"/>
          <c:showCatName val="0"/>
          <c:showSerName val="0"/>
          <c:showPercent val="0"/>
          <c:showBubbleSize val="0"/>
        </c:dLbls>
        <c:marker val="1"/>
        <c:smooth val="0"/>
        <c:axId val="1605114607"/>
        <c:axId val="1605116527"/>
      </c:lineChart>
      <c:catAx>
        <c:axId val="1605114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Products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116527"/>
        <c:crosses val="autoZero"/>
        <c:auto val="1"/>
        <c:lblAlgn val="ctr"/>
        <c:lblOffset val="100"/>
        <c:noMultiLvlLbl val="0"/>
      </c:catAx>
      <c:valAx>
        <c:axId val="16051165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t>
                </a:r>
                <a:r>
                  <a:rPr lang="en-US" b="1"/>
                  <a:t>Sum</a:t>
                </a:r>
                <a:r>
                  <a:rPr lang="en-US" b="1" baseline="0"/>
                  <a:t> of Total Sales</a:t>
                </a:r>
                <a:endParaRPr lang="en-US" b="1"/>
              </a:p>
            </c:rich>
          </c:tx>
          <c:layout>
            <c:manualLayout>
              <c:xMode val="edge"/>
              <c:yMode val="edge"/>
              <c:x val="2.3442558118393225E-2"/>
              <c:y val="0.2088605360538116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114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[Record Sales Table.xlsx]Pivot Table!PivotTable5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Payment Method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Table'!$O$6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22B-4A6A-9365-61AAF19E26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22B-4A6A-9365-61AAF19E268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22B-4A6A-9365-61AAF19E268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22B-4A6A-9365-61AAF19E26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Table'!$N$7:$N$11</c:f>
              <c:strCache>
                <c:ptCount val="4"/>
                <c:pt idx="0">
                  <c:v>Cash</c:v>
                </c:pt>
                <c:pt idx="1">
                  <c:v>Credit Card</c:v>
                </c:pt>
                <c:pt idx="2">
                  <c:v>Debit Card</c:v>
                </c:pt>
                <c:pt idx="3">
                  <c:v>Not Specified</c:v>
                </c:pt>
              </c:strCache>
            </c:strRef>
          </c:cat>
          <c:val>
            <c:numRef>
              <c:f>'Pivot Table'!$O$7:$O$11</c:f>
              <c:numCache>
                <c:formatCode>General</c:formatCode>
                <c:ptCount val="4"/>
                <c:pt idx="0">
                  <c:v>7</c:v>
                </c:pt>
                <c:pt idx="1">
                  <c:v>11</c:v>
                </c:pt>
                <c:pt idx="2">
                  <c:v>7</c:v>
                </c:pt>
                <c:pt idx="3">
                  <c:v>1</c:v>
                </c:pt>
              </c:numCache>
            </c:numRef>
          </c:val>
          <c:extLst>
            <c:ext xmlns:c16="http://schemas.microsoft.com/office/drawing/2014/chart" uri="{C3380CC4-5D6E-409C-BE32-E72D297353CC}">
              <c16:uniqueId val="{00000000-9ACB-4233-82B9-CC10A27A153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[Record Sales Table.xlsx]Pivot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Trend Over Time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Table'!$P$28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Table'!$O$29:$O$37</c:f>
              <c:strCache>
                <c:ptCount val="8"/>
                <c:pt idx="0">
                  <c:v>Jan</c:v>
                </c:pt>
                <c:pt idx="1">
                  <c:v>May</c:v>
                </c:pt>
                <c:pt idx="2">
                  <c:v>Jun</c:v>
                </c:pt>
                <c:pt idx="3">
                  <c:v>Jul</c:v>
                </c:pt>
                <c:pt idx="4">
                  <c:v>Sep</c:v>
                </c:pt>
                <c:pt idx="5">
                  <c:v>Oct</c:v>
                </c:pt>
                <c:pt idx="6">
                  <c:v>Nov</c:v>
                </c:pt>
                <c:pt idx="7">
                  <c:v>Dec</c:v>
                </c:pt>
              </c:strCache>
            </c:strRef>
          </c:cat>
          <c:val>
            <c:numRef>
              <c:f>'Pivot Table'!$P$29:$P$37</c:f>
              <c:numCache>
                <c:formatCode>General</c:formatCode>
                <c:ptCount val="8"/>
                <c:pt idx="0">
                  <c:v>11150</c:v>
                </c:pt>
                <c:pt idx="1">
                  <c:v>1700</c:v>
                </c:pt>
                <c:pt idx="2">
                  <c:v>500</c:v>
                </c:pt>
                <c:pt idx="3">
                  <c:v>900</c:v>
                </c:pt>
                <c:pt idx="4">
                  <c:v>850</c:v>
                </c:pt>
                <c:pt idx="5">
                  <c:v>1000</c:v>
                </c:pt>
                <c:pt idx="6">
                  <c:v>300</c:v>
                </c:pt>
                <c:pt idx="7">
                  <c:v>-850</c:v>
                </c:pt>
              </c:numCache>
            </c:numRef>
          </c:val>
          <c:smooth val="0"/>
          <c:extLst>
            <c:ext xmlns:c16="http://schemas.microsoft.com/office/drawing/2014/chart" uri="{C3380CC4-5D6E-409C-BE32-E72D297353CC}">
              <c16:uniqueId val="{00000000-4B7F-4AF2-AB8D-6FD5FABD27C6}"/>
            </c:ext>
          </c:extLst>
        </c:ser>
        <c:dLbls>
          <c:showLegendKey val="0"/>
          <c:showVal val="0"/>
          <c:showCatName val="0"/>
          <c:showSerName val="0"/>
          <c:showPercent val="0"/>
          <c:showBubbleSize val="0"/>
        </c:dLbls>
        <c:marker val="1"/>
        <c:smooth val="0"/>
        <c:axId val="1129520607"/>
        <c:axId val="1129510047"/>
      </c:lineChart>
      <c:catAx>
        <c:axId val="1129520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 Order</a:t>
                </a:r>
                <a:r>
                  <a:rPr lang="en-US" b="1" baseline="0"/>
                  <a:t> Month</a:t>
                </a:r>
                <a:endParaRPr lang="en-US" b="1"/>
              </a:p>
            </c:rich>
          </c:tx>
          <c:layout>
            <c:manualLayout>
              <c:xMode val="edge"/>
              <c:yMode val="edge"/>
              <c:x val="0.40865135608048991"/>
              <c:y val="0.8287751531058619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510047"/>
        <c:crosses val="autoZero"/>
        <c:auto val="1"/>
        <c:lblAlgn val="ctr"/>
        <c:lblOffset val="100"/>
        <c:noMultiLvlLbl val="0"/>
      </c:catAx>
      <c:valAx>
        <c:axId val="11295100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Total</a:t>
                </a:r>
                <a:r>
                  <a:rPr lang="en-US" b="1" baseline="0"/>
                  <a:t> Revenue</a:t>
                </a:r>
                <a:r>
                  <a:rPr lang="en-US" b="1"/>
                  <a:t> </a:t>
                </a:r>
              </a:p>
            </c:rich>
          </c:tx>
          <c:layout>
            <c:manualLayout>
              <c:xMode val="edge"/>
              <c:yMode val="edge"/>
              <c:x val="2.2222222222222223E-2"/>
              <c:y val="0.3394907407407407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520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[Record Sales Table.xlsx]Pivot Table!PivotTable2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Sales By</a:t>
            </a:r>
            <a:r>
              <a:rPr lang="en-US" b="1" baseline="0"/>
              <a:t> Region</a:t>
            </a:r>
          </a:p>
          <a:p>
            <a:pPr>
              <a:defRPr/>
            </a:pPr>
            <a:endParaRPr lang="en-US"/>
          </a:p>
        </c:rich>
      </c:tx>
      <c:layout>
        <c:manualLayout>
          <c:xMode val="edge"/>
          <c:yMode val="edge"/>
          <c:x val="0.31156048675733716"/>
          <c:y val="4.54309317415530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Table'!$A$4:$A$8</c:f>
              <c:strCache>
                <c:ptCount val="4"/>
                <c:pt idx="0">
                  <c:v>EAST</c:v>
                </c:pt>
                <c:pt idx="1">
                  <c:v>NORTH</c:v>
                </c:pt>
                <c:pt idx="2">
                  <c:v>SOUTH</c:v>
                </c:pt>
                <c:pt idx="3">
                  <c:v>WEST</c:v>
                </c:pt>
              </c:strCache>
            </c:strRef>
          </c:cat>
          <c:val>
            <c:numRef>
              <c:f>'Pivot Table'!$B$4:$B$8</c:f>
              <c:numCache>
                <c:formatCode>General</c:formatCode>
                <c:ptCount val="4"/>
                <c:pt idx="0">
                  <c:v>3000</c:v>
                </c:pt>
                <c:pt idx="1">
                  <c:v>4200</c:v>
                </c:pt>
                <c:pt idx="2">
                  <c:v>2400</c:v>
                </c:pt>
                <c:pt idx="3">
                  <c:v>5950</c:v>
                </c:pt>
              </c:numCache>
            </c:numRef>
          </c:val>
          <c:extLst>
            <c:ext xmlns:c16="http://schemas.microsoft.com/office/drawing/2014/chart" uri="{C3380CC4-5D6E-409C-BE32-E72D297353CC}">
              <c16:uniqueId val="{00000000-8650-4713-BE30-33EEB111B996}"/>
            </c:ext>
          </c:extLst>
        </c:ser>
        <c:dLbls>
          <c:showLegendKey val="0"/>
          <c:showVal val="0"/>
          <c:showCatName val="0"/>
          <c:showSerName val="0"/>
          <c:showPercent val="0"/>
          <c:showBubbleSize val="0"/>
        </c:dLbls>
        <c:gapWidth val="219"/>
        <c:overlap val="-27"/>
        <c:axId val="1605136479"/>
        <c:axId val="1605135519"/>
      </c:barChart>
      <c:catAx>
        <c:axId val="16051364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Region</a:t>
                </a:r>
              </a:p>
            </c:rich>
          </c:tx>
          <c:layout>
            <c:manualLayout>
              <c:xMode val="edge"/>
              <c:yMode val="edge"/>
              <c:x val="0.45652911580894801"/>
              <c:y val="0.8343356464540476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135519"/>
        <c:crosses val="autoZero"/>
        <c:auto val="1"/>
        <c:lblAlgn val="ctr"/>
        <c:lblOffset val="100"/>
        <c:noMultiLvlLbl val="0"/>
      </c:catAx>
      <c:valAx>
        <c:axId val="16051355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Sum</a:t>
                </a:r>
                <a:r>
                  <a:rPr lang="en-US" b="1" baseline="0"/>
                  <a:t> of Total Sales</a:t>
                </a:r>
              </a:p>
              <a:p>
                <a:pPr>
                  <a:defRPr/>
                </a:pPr>
                <a:endParaRPr lang="en-US"/>
              </a:p>
            </c:rich>
          </c:tx>
          <c:layout>
            <c:manualLayout>
              <c:xMode val="edge"/>
              <c:yMode val="edge"/>
              <c:x val="2.7272747783317917E-2"/>
              <c:y val="0.3226233786846073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136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[Record Sales Table.xlsx]Pivot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Payment Method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 Table'!$O$6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5FC-4C0F-B23C-EE3238132B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5FC-4C0F-B23C-EE3238132BB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5FC-4C0F-B23C-EE3238132BB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5FC-4C0F-B23C-EE3238132BB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Table'!$N$7:$N$11</c:f>
              <c:strCache>
                <c:ptCount val="4"/>
                <c:pt idx="0">
                  <c:v>Cash</c:v>
                </c:pt>
                <c:pt idx="1">
                  <c:v>Credit Card</c:v>
                </c:pt>
                <c:pt idx="2">
                  <c:v>Debit Card</c:v>
                </c:pt>
                <c:pt idx="3">
                  <c:v>Not Specified</c:v>
                </c:pt>
              </c:strCache>
            </c:strRef>
          </c:cat>
          <c:val>
            <c:numRef>
              <c:f>'Pivot Table'!$O$7:$O$11</c:f>
              <c:numCache>
                <c:formatCode>General</c:formatCode>
                <c:ptCount val="4"/>
                <c:pt idx="0">
                  <c:v>7</c:v>
                </c:pt>
                <c:pt idx="1">
                  <c:v>11</c:v>
                </c:pt>
                <c:pt idx="2">
                  <c:v>7</c:v>
                </c:pt>
                <c:pt idx="3">
                  <c:v>1</c:v>
                </c:pt>
              </c:numCache>
            </c:numRef>
          </c:val>
          <c:extLst>
            <c:ext xmlns:c16="http://schemas.microsoft.com/office/drawing/2014/chart" uri="{C3380CC4-5D6E-409C-BE32-E72D297353CC}">
              <c16:uniqueId val="{00000008-35FC-4C0F-B23C-EE3238132BB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[Record Sales Table.xlsx]Pivot Table!PivotTable4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Product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Table'!$A$25:$A$30</c:f>
              <c:strCache>
                <c:ptCount val="5"/>
                <c:pt idx="0">
                  <c:v>Headphones</c:v>
                </c:pt>
                <c:pt idx="1">
                  <c:v>Laptop</c:v>
                </c:pt>
                <c:pt idx="2">
                  <c:v>Phone</c:v>
                </c:pt>
                <c:pt idx="3">
                  <c:v>Tablet</c:v>
                </c:pt>
                <c:pt idx="4">
                  <c:v>Unknown</c:v>
                </c:pt>
              </c:strCache>
            </c:strRef>
          </c:cat>
          <c:val>
            <c:numRef>
              <c:f>'Pivot Table'!$B$25:$B$30</c:f>
              <c:numCache>
                <c:formatCode>General</c:formatCode>
                <c:ptCount val="5"/>
                <c:pt idx="0">
                  <c:v>800</c:v>
                </c:pt>
                <c:pt idx="1">
                  <c:v>5950</c:v>
                </c:pt>
                <c:pt idx="2">
                  <c:v>4000</c:v>
                </c:pt>
                <c:pt idx="3">
                  <c:v>4500</c:v>
                </c:pt>
                <c:pt idx="4">
                  <c:v>300</c:v>
                </c:pt>
              </c:numCache>
            </c:numRef>
          </c:val>
          <c:smooth val="0"/>
          <c:extLst>
            <c:ext xmlns:c16="http://schemas.microsoft.com/office/drawing/2014/chart" uri="{C3380CC4-5D6E-409C-BE32-E72D297353CC}">
              <c16:uniqueId val="{00000000-6806-4C11-8E95-0EDCE1670A40}"/>
            </c:ext>
          </c:extLst>
        </c:ser>
        <c:dLbls>
          <c:showLegendKey val="0"/>
          <c:showVal val="0"/>
          <c:showCatName val="0"/>
          <c:showSerName val="0"/>
          <c:showPercent val="0"/>
          <c:showBubbleSize val="0"/>
        </c:dLbls>
        <c:marker val="1"/>
        <c:smooth val="0"/>
        <c:axId val="1605114607"/>
        <c:axId val="1605116527"/>
      </c:lineChart>
      <c:catAx>
        <c:axId val="1605114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Products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116527"/>
        <c:crosses val="autoZero"/>
        <c:auto val="1"/>
        <c:lblAlgn val="ctr"/>
        <c:lblOffset val="100"/>
        <c:noMultiLvlLbl val="0"/>
      </c:catAx>
      <c:valAx>
        <c:axId val="16051165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t>
                </a:r>
                <a:r>
                  <a:rPr lang="en-US" b="1"/>
                  <a:t>Sum</a:t>
                </a:r>
                <a:r>
                  <a:rPr lang="en-US" b="1" baseline="0"/>
                  <a:t> of Total Sales</a:t>
                </a:r>
                <a:endParaRPr lang="en-US" b="1"/>
              </a:p>
            </c:rich>
          </c:tx>
          <c:layout>
            <c:manualLayout>
              <c:xMode val="edge"/>
              <c:yMode val="edge"/>
              <c:x val="2.3442558118393225E-2"/>
              <c:y val="0.2088605360538116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114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[Record Sales Table.xlsx]Pivot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Trend Over Time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Table'!$P$28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Table'!$O$29:$O$37</c:f>
              <c:strCache>
                <c:ptCount val="8"/>
                <c:pt idx="0">
                  <c:v>Jan</c:v>
                </c:pt>
                <c:pt idx="1">
                  <c:v>May</c:v>
                </c:pt>
                <c:pt idx="2">
                  <c:v>Jun</c:v>
                </c:pt>
                <c:pt idx="3">
                  <c:v>Jul</c:v>
                </c:pt>
                <c:pt idx="4">
                  <c:v>Sep</c:v>
                </c:pt>
                <c:pt idx="5">
                  <c:v>Oct</c:v>
                </c:pt>
                <c:pt idx="6">
                  <c:v>Nov</c:v>
                </c:pt>
                <c:pt idx="7">
                  <c:v>Dec</c:v>
                </c:pt>
              </c:strCache>
            </c:strRef>
          </c:cat>
          <c:val>
            <c:numRef>
              <c:f>'Pivot Table'!$P$29:$P$37</c:f>
              <c:numCache>
                <c:formatCode>General</c:formatCode>
                <c:ptCount val="8"/>
                <c:pt idx="0">
                  <c:v>11150</c:v>
                </c:pt>
                <c:pt idx="1">
                  <c:v>1700</c:v>
                </c:pt>
                <c:pt idx="2">
                  <c:v>500</c:v>
                </c:pt>
                <c:pt idx="3">
                  <c:v>900</c:v>
                </c:pt>
                <c:pt idx="4">
                  <c:v>850</c:v>
                </c:pt>
                <c:pt idx="5">
                  <c:v>1000</c:v>
                </c:pt>
                <c:pt idx="6">
                  <c:v>300</c:v>
                </c:pt>
                <c:pt idx="7">
                  <c:v>-850</c:v>
                </c:pt>
              </c:numCache>
            </c:numRef>
          </c:val>
          <c:smooth val="0"/>
          <c:extLst>
            <c:ext xmlns:c16="http://schemas.microsoft.com/office/drawing/2014/chart" uri="{C3380CC4-5D6E-409C-BE32-E72D297353CC}">
              <c16:uniqueId val="{00000000-F09A-4C0F-AB2E-42136B89E30D}"/>
            </c:ext>
          </c:extLst>
        </c:ser>
        <c:dLbls>
          <c:showLegendKey val="0"/>
          <c:showVal val="0"/>
          <c:showCatName val="0"/>
          <c:showSerName val="0"/>
          <c:showPercent val="0"/>
          <c:showBubbleSize val="0"/>
        </c:dLbls>
        <c:marker val="1"/>
        <c:smooth val="0"/>
        <c:axId val="1129520607"/>
        <c:axId val="1129510047"/>
      </c:lineChart>
      <c:catAx>
        <c:axId val="1129520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 Order</a:t>
                </a:r>
                <a:r>
                  <a:rPr lang="en-US" b="1" baseline="0"/>
                  <a:t> Month</a:t>
                </a:r>
                <a:endParaRPr lang="en-US" b="1"/>
              </a:p>
            </c:rich>
          </c:tx>
          <c:layout>
            <c:manualLayout>
              <c:xMode val="edge"/>
              <c:yMode val="edge"/>
              <c:x val="0.40865135608048991"/>
              <c:y val="0.8287751531058619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510047"/>
        <c:crosses val="autoZero"/>
        <c:auto val="1"/>
        <c:lblAlgn val="ctr"/>
        <c:lblOffset val="100"/>
        <c:noMultiLvlLbl val="0"/>
      </c:catAx>
      <c:valAx>
        <c:axId val="11295100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Total</a:t>
                </a:r>
                <a:r>
                  <a:rPr lang="en-US" b="1" baseline="0"/>
                  <a:t> Revenue</a:t>
                </a:r>
                <a:r>
                  <a:rPr lang="en-US" b="1"/>
                  <a:t> </a:t>
                </a:r>
              </a:p>
            </c:rich>
          </c:tx>
          <c:layout>
            <c:manualLayout>
              <c:xMode val="edge"/>
              <c:yMode val="edge"/>
              <c:x val="2.2222222222222223E-2"/>
              <c:y val="0.3394907407407407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520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444988</xdr:colOff>
      <xdr:row>0</xdr:row>
      <xdr:rowOff>0</xdr:rowOff>
    </xdr:from>
    <xdr:to>
      <xdr:col>10</xdr:col>
      <xdr:colOff>212969</xdr:colOff>
      <xdr:row>13</xdr:row>
      <xdr:rowOff>142142</xdr:rowOff>
    </xdr:to>
    <xdr:graphicFrame macro="">
      <xdr:nvGraphicFramePr>
        <xdr:cNvPr id="4" name="Chart 3">
          <a:extLst>
            <a:ext uri="{FF2B5EF4-FFF2-40B4-BE49-F238E27FC236}">
              <a16:creationId xmlns:a16="http://schemas.microsoft.com/office/drawing/2014/main" id="{61AD2A21-2ACD-FCA5-C769-C9FDF7ADB4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451509</xdr:colOff>
      <xdr:row>18</xdr:row>
      <xdr:rowOff>156450</xdr:rowOff>
    </xdr:from>
    <xdr:to>
      <xdr:col>10</xdr:col>
      <xdr:colOff>487753</xdr:colOff>
      <xdr:row>30</xdr:row>
      <xdr:rowOff>128841</xdr:rowOff>
    </xdr:to>
    <xdr:graphicFrame macro="">
      <xdr:nvGraphicFramePr>
        <xdr:cNvPr id="6" name="Chart 5">
          <a:extLst>
            <a:ext uri="{FF2B5EF4-FFF2-40B4-BE49-F238E27FC236}">
              <a16:creationId xmlns:a16="http://schemas.microsoft.com/office/drawing/2014/main" id="{4B6E0B5E-9A15-661D-98AE-F26176A44C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106754</xdr:colOff>
      <xdr:row>3</xdr:row>
      <xdr:rowOff>36444</xdr:rowOff>
    </xdr:from>
    <xdr:to>
      <xdr:col>27</xdr:col>
      <xdr:colOff>27609</xdr:colOff>
      <xdr:row>16</xdr:row>
      <xdr:rowOff>101231</xdr:rowOff>
    </xdr:to>
    <xdr:graphicFrame macro="">
      <xdr:nvGraphicFramePr>
        <xdr:cNvPr id="7" name="Chart 6">
          <a:extLst>
            <a:ext uri="{FF2B5EF4-FFF2-40B4-BE49-F238E27FC236}">
              <a16:creationId xmlns:a16="http://schemas.microsoft.com/office/drawing/2014/main" id="{3AB787F6-27C1-5DA2-AC69-25E4E83E1C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244797</xdr:colOff>
      <xdr:row>25</xdr:row>
      <xdr:rowOff>183690</xdr:rowOff>
    </xdr:from>
    <xdr:to>
      <xdr:col>30</xdr:col>
      <xdr:colOff>49696</xdr:colOff>
      <xdr:row>40</xdr:row>
      <xdr:rowOff>166020</xdr:rowOff>
    </xdr:to>
    <xdr:graphicFrame macro="">
      <xdr:nvGraphicFramePr>
        <xdr:cNvPr id="2" name="Chart 1">
          <a:extLst>
            <a:ext uri="{FF2B5EF4-FFF2-40B4-BE49-F238E27FC236}">
              <a16:creationId xmlns:a16="http://schemas.microsoft.com/office/drawing/2014/main" id="{8F5CF329-FF00-CBCA-E574-157DBFB1E5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562596</xdr:colOff>
      <xdr:row>6</xdr:row>
      <xdr:rowOff>0</xdr:rowOff>
    </xdr:from>
    <xdr:to>
      <xdr:col>12</xdr:col>
      <xdr:colOff>0</xdr:colOff>
      <xdr:row>21</xdr:row>
      <xdr:rowOff>56188</xdr:rowOff>
    </xdr:to>
    <xdr:graphicFrame macro="">
      <xdr:nvGraphicFramePr>
        <xdr:cNvPr id="2" name="Chart 1">
          <a:extLst>
            <a:ext uri="{FF2B5EF4-FFF2-40B4-BE49-F238E27FC236}">
              <a16:creationId xmlns:a16="http://schemas.microsoft.com/office/drawing/2014/main" id="{B0711658-C57E-4D08-9B53-6195F357CD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562596</xdr:colOff>
      <xdr:row>21</xdr:row>
      <xdr:rowOff>91156</xdr:rowOff>
    </xdr:from>
    <xdr:to>
      <xdr:col>12</xdr:col>
      <xdr:colOff>0</xdr:colOff>
      <xdr:row>36</xdr:row>
      <xdr:rowOff>67361</xdr:rowOff>
    </xdr:to>
    <xdr:graphicFrame macro="">
      <xdr:nvGraphicFramePr>
        <xdr:cNvPr id="4" name="Chart 3">
          <a:extLst>
            <a:ext uri="{FF2B5EF4-FFF2-40B4-BE49-F238E27FC236}">
              <a16:creationId xmlns:a16="http://schemas.microsoft.com/office/drawing/2014/main" id="{8C95CBA1-5007-4981-B06A-2ABAD79D11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21965</xdr:colOff>
      <xdr:row>6</xdr:row>
      <xdr:rowOff>0</xdr:rowOff>
    </xdr:from>
    <xdr:to>
      <xdr:col>20</xdr:col>
      <xdr:colOff>0</xdr:colOff>
      <xdr:row>21</xdr:row>
      <xdr:rowOff>48105</xdr:rowOff>
    </xdr:to>
    <xdr:graphicFrame macro="">
      <xdr:nvGraphicFramePr>
        <xdr:cNvPr id="3" name="Chart 2">
          <a:extLst>
            <a:ext uri="{FF2B5EF4-FFF2-40B4-BE49-F238E27FC236}">
              <a16:creationId xmlns:a16="http://schemas.microsoft.com/office/drawing/2014/main" id="{BE0DCC3D-7E1A-4F75-8B16-94D839147C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21965</xdr:colOff>
      <xdr:row>21</xdr:row>
      <xdr:rowOff>66206</xdr:rowOff>
    </xdr:from>
    <xdr:to>
      <xdr:col>20</xdr:col>
      <xdr:colOff>0</xdr:colOff>
      <xdr:row>36</xdr:row>
      <xdr:rowOff>67361</xdr:rowOff>
    </xdr:to>
    <xdr:graphicFrame macro="">
      <xdr:nvGraphicFramePr>
        <xdr:cNvPr id="5" name="Chart 4">
          <a:extLst>
            <a:ext uri="{FF2B5EF4-FFF2-40B4-BE49-F238E27FC236}">
              <a16:creationId xmlns:a16="http://schemas.microsoft.com/office/drawing/2014/main" id="{21DAE880-88B2-4C08-8794-F42B40CAD5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538136</xdr:colOff>
      <xdr:row>5</xdr:row>
      <xdr:rowOff>172203</xdr:rowOff>
    </xdr:from>
    <xdr:to>
      <xdr:col>3</xdr:col>
      <xdr:colOff>526512</xdr:colOff>
      <xdr:row>14</xdr:row>
      <xdr:rowOff>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21C093BC-6201-E047-6B0A-627393A66C7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38136" y="1087034"/>
              <a:ext cx="1828800" cy="14744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538136</xdr:colOff>
      <xdr:row>14</xdr:row>
      <xdr:rowOff>1</xdr:rowOff>
    </xdr:from>
    <xdr:to>
      <xdr:col>3</xdr:col>
      <xdr:colOff>526512</xdr:colOff>
      <xdr:row>23</xdr:row>
      <xdr:rowOff>43052</xdr:rowOff>
    </xdr:to>
    <mc:AlternateContent xmlns:mc="http://schemas.openxmlformats.org/markup-compatibility/2006" xmlns:a14="http://schemas.microsoft.com/office/drawing/2010/main">
      <mc:Choice Requires="a14">
        <xdr:graphicFrame macro="">
          <xdr:nvGraphicFramePr>
            <xdr:cNvPr id="7" name="Product">
              <a:extLst>
                <a:ext uri="{FF2B5EF4-FFF2-40B4-BE49-F238E27FC236}">
                  <a16:creationId xmlns:a16="http://schemas.microsoft.com/office/drawing/2014/main" id="{773411D7-6119-F061-9259-64545EDC1A3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38136" y="2561526"/>
              <a:ext cx="1828800" cy="16897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538136</xdr:colOff>
      <xdr:row>23</xdr:row>
      <xdr:rowOff>43052</xdr:rowOff>
    </xdr:from>
    <xdr:to>
      <xdr:col>3</xdr:col>
      <xdr:colOff>526512</xdr:colOff>
      <xdr:row>31</xdr:row>
      <xdr:rowOff>0</xdr:rowOff>
    </xdr:to>
    <mc:AlternateContent xmlns:mc="http://schemas.openxmlformats.org/markup-compatibility/2006" xmlns:a14="http://schemas.microsoft.com/office/drawing/2010/main">
      <mc:Choice Requires="a14">
        <xdr:graphicFrame macro="">
          <xdr:nvGraphicFramePr>
            <xdr:cNvPr id="8" name="Status">
              <a:extLst>
                <a:ext uri="{FF2B5EF4-FFF2-40B4-BE49-F238E27FC236}">
                  <a16:creationId xmlns:a16="http://schemas.microsoft.com/office/drawing/2014/main" id="{B6660BE1-9F3D-A06F-AE2B-E712CF3D4E64}"/>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538136" y="4251272"/>
              <a:ext cx="1828800" cy="14206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GUNWA" refreshedDate="46138.423456597222" createdVersion="8" refreshedVersion="8" minRefreshableVersion="3" recordCount="26" xr:uid="{258448C1-A66E-4329-8D50-D40DC79EC415}">
  <cacheSource type="worksheet">
    <worksheetSource name="Table1"/>
  </cacheSource>
  <cacheFields count="15">
    <cacheField name="Order_ID" numFmtId="0">
      <sharedItems containsSemiMixedTypes="0" containsString="0" containsNumber="1" containsInteger="1" minValue="1001" maxValue="1026"/>
    </cacheField>
    <cacheField name="Order Date" numFmtId="14">
      <sharedItems containsSemiMixedTypes="0" containsNonDate="0" containsDate="1" containsString="0" minDate="2023-01-08T00:00:00" maxDate="2023-12-02T00:00:00"/>
    </cacheField>
    <cacheField name="Order Month" numFmtId="14">
      <sharedItems count="8">
        <s v="Jan"/>
        <s v="May"/>
        <s v="Jun"/>
        <s v="Jul"/>
        <s v="Sep"/>
        <s v="Oct"/>
        <s v="Nov"/>
        <s v="Dec"/>
      </sharedItems>
    </cacheField>
    <cacheField name="Ship_Date" numFmtId="14">
      <sharedItems containsSemiMixedTypes="0" containsNonDate="0" containsDate="1" containsString="0" minDate="2023-01-08T00:00:00" maxDate="2023-12-02T00:00:00"/>
    </cacheField>
    <cacheField name="Customer Name" numFmtId="0">
      <sharedItems/>
    </cacheField>
    <cacheField name="Region" numFmtId="0">
      <sharedItems count="4">
        <s v="SOUTH"/>
        <s v="EAST"/>
        <s v="NORTH"/>
        <s v="WEST"/>
      </sharedItems>
    </cacheField>
    <cacheField name="Product" numFmtId="0">
      <sharedItems count="5">
        <s v="Headphones"/>
        <s v="Tablet"/>
        <s v="Phone"/>
        <s v="Laptop"/>
        <s v="Unknown"/>
      </sharedItems>
    </cacheField>
    <cacheField name="Column1" numFmtId="0">
      <sharedItems/>
    </cacheField>
    <cacheField name="Category" numFmtId="0">
      <sharedItems/>
    </cacheField>
    <cacheField name="Quantity" numFmtId="0">
      <sharedItems containsSemiMixedTypes="0" containsString="0" containsNumber="1" containsInteger="1" minValue="-1" maxValue="50"/>
    </cacheField>
    <cacheField name="Quantity Status" numFmtId="0">
      <sharedItems/>
    </cacheField>
    <cacheField name="Unit Price" numFmtId="0">
      <sharedItems containsSemiMixedTypes="0" containsString="0" containsNumber="1" containsInteger="1" minValue="50" maxValue="850"/>
    </cacheField>
    <cacheField name="Total Sales" numFmtId="0">
      <sharedItems containsSemiMixedTypes="0" containsString="0" containsNumber="1" containsInteger="1" minValue="-850" maxValue="1700"/>
    </cacheField>
    <cacheField name="Payment Method" numFmtId="0">
      <sharedItems count="4">
        <s v="Credit Card"/>
        <s v="Cash"/>
        <s v="Debit Card"/>
        <s v="Not Specified"/>
      </sharedItems>
    </cacheField>
    <cacheField name="Status" numFmtId="0">
      <sharedItems count="4">
        <s v="Completed"/>
        <s v="Pending"/>
        <s v="Cancelled"/>
        <s v="Returned"/>
      </sharedItems>
    </cacheField>
  </cacheFields>
  <extLst>
    <ext xmlns:x14="http://schemas.microsoft.com/office/spreadsheetml/2009/9/main" uri="{725AE2AE-9491-48be-B2B4-4EB974FC3084}">
      <x14:pivotCacheDefinition pivotCacheId="17315178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n v="1004"/>
    <d v="2023-01-08T00:00:00"/>
    <x v="0"/>
    <d v="2023-01-08T00:00:00"/>
    <s v="Jane Lee"/>
    <x v="0"/>
    <x v="0"/>
    <s v="Headphones"/>
    <s v="Electronics"/>
    <n v="5"/>
    <s v="Sold"/>
    <n v="50"/>
    <n v="250"/>
    <x v="0"/>
    <x v="0"/>
  </r>
  <r>
    <n v="1008"/>
    <d v="2023-01-11T00:00:00"/>
    <x v="0"/>
    <d v="2023-01-11T00:00:00"/>
    <s v="Sarah Connor"/>
    <x v="0"/>
    <x v="1"/>
    <s v="Tablet"/>
    <s v="Electronics"/>
    <n v="2"/>
    <s v="Sold"/>
    <n v="300"/>
    <n v="600"/>
    <x v="0"/>
    <x v="0"/>
  </r>
  <r>
    <n v="1010"/>
    <d v="2023-01-13T00:00:00"/>
    <x v="0"/>
    <d v="2023-01-13T00:00:00"/>
    <s v="Mary Johnson"/>
    <x v="1"/>
    <x v="2"/>
    <s v="Phone"/>
    <s v="Electronics"/>
    <n v="1"/>
    <s v="Sold"/>
    <n v="500"/>
    <n v="500"/>
    <x v="1"/>
    <x v="0"/>
  </r>
  <r>
    <n v="1011"/>
    <d v="2023-01-14T00:00:00"/>
    <x v="0"/>
    <d v="2023-01-14T00:00:00"/>
    <s v="David Smith"/>
    <x v="2"/>
    <x v="1"/>
    <s v="Tablet"/>
    <s v="Electronics"/>
    <n v="2"/>
    <s v="Sold"/>
    <n v="300"/>
    <n v="600"/>
    <x v="2"/>
    <x v="0"/>
  </r>
  <r>
    <n v="1012"/>
    <d v="2023-01-15T00:00:00"/>
    <x v="0"/>
    <d v="2023-01-15T00:00:00"/>
    <s v="Jane Lee"/>
    <x v="0"/>
    <x v="0"/>
    <s v="Headphones"/>
    <s v="Electronics"/>
    <n v="50"/>
    <s v="Sold"/>
    <n v="50"/>
    <n v="250"/>
    <x v="0"/>
    <x v="0"/>
  </r>
  <r>
    <n v="1013"/>
    <d v="2023-01-16T00:00:00"/>
    <x v="0"/>
    <d v="2023-01-16T00:00:00"/>
    <s v="Chris Brown"/>
    <x v="3"/>
    <x v="3"/>
    <s v="Laptop"/>
    <s v="Electronics"/>
    <n v="1"/>
    <s v="Sold"/>
    <n v="850"/>
    <n v="850"/>
    <x v="0"/>
    <x v="0"/>
  </r>
  <r>
    <n v="1014"/>
    <d v="2023-01-17T00:00:00"/>
    <x v="0"/>
    <d v="2023-01-17T00:00:00"/>
    <s v="Mary Johnson"/>
    <x v="1"/>
    <x v="2"/>
    <s v="Phone"/>
    <s v="Electronics"/>
    <n v="1"/>
    <s v="Sold"/>
    <n v="500"/>
    <n v="500"/>
    <x v="1"/>
    <x v="0"/>
  </r>
  <r>
    <n v="1015"/>
    <d v="2023-01-18T00:00:00"/>
    <x v="0"/>
    <d v="2023-01-18T00:00:00"/>
    <s v="David Smith"/>
    <x v="2"/>
    <x v="1"/>
    <s v="Tablet"/>
    <s v="Electronics"/>
    <n v="2"/>
    <s v="Sold"/>
    <n v="300"/>
    <n v="600"/>
    <x v="2"/>
    <x v="1"/>
  </r>
  <r>
    <n v="1016"/>
    <d v="2023-01-19T00:00:00"/>
    <x v="0"/>
    <d v="2023-01-19T00:00:00"/>
    <s v="Jane Lee"/>
    <x v="0"/>
    <x v="0"/>
    <s v="Headphones"/>
    <s v="Electronics"/>
    <n v="3"/>
    <s v="Sold"/>
    <n v="50"/>
    <n v="150"/>
    <x v="0"/>
    <x v="0"/>
  </r>
  <r>
    <n v="1017"/>
    <d v="2023-01-20T00:00:00"/>
    <x v="0"/>
    <d v="2023-01-20T00:00:00"/>
    <s v="Chris Brown"/>
    <x v="3"/>
    <x v="3"/>
    <s v="Laptop"/>
    <s v="Electronics"/>
    <n v="1"/>
    <s v="Sold"/>
    <n v="850"/>
    <n v="850"/>
    <x v="0"/>
    <x v="0"/>
  </r>
  <r>
    <n v="1018"/>
    <d v="2023-01-21T00:00:00"/>
    <x v="0"/>
    <d v="2023-01-21T00:00:00"/>
    <s v="Michael Scott"/>
    <x v="2"/>
    <x v="1"/>
    <s v="Tablet"/>
    <s v="Electronics"/>
    <n v="2"/>
    <s v="Sold"/>
    <n v="300"/>
    <n v="600"/>
    <x v="2"/>
    <x v="0"/>
  </r>
  <r>
    <n v="1019"/>
    <d v="2023-01-22T00:00:00"/>
    <x v="0"/>
    <d v="2023-01-22T00:00:00"/>
    <s v="Sarah Connor"/>
    <x v="0"/>
    <x v="2"/>
    <s v="Phone"/>
    <s v="Electronics"/>
    <n v="1"/>
    <s v="Sold"/>
    <n v="500"/>
    <n v="500"/>
    <x v="1"/>
    <x v="0"/>
  </r>
  <r>
    <n v="1020"/>
    <d v="2023-01-23T00:00:00"/>
    <x v="0"/>
    <d v="2023-01-23T00:00:00"/>
    <s v="John Doe"/>
    <x v="3"/>
    <x v="3"/>
    <s v="Laptop"/>
    <s v="Electronics"/>
    <n v="2"/>
    <s v="Sold"/>
    <n v="850"/>
    <n v="1700"/>
    <x v="0"/>
    <x v="0"/>
  </r>
  <r>
    <n v="1021"/>
    <d v="2023-01-24T00:00:00"/>
    <x v="0"/>
    <d v="2023-01-24T00:00:00"/>
    <s v="Mary Johnson"/>
    <x v="1"/>
    <x v="2"/>
    <s v="Phone"/>
    <s v="Electronics"/>
    <n v="1"/>
    <s v="Sold"/>
    <n v="500"/>
    <n v="500"/>
    <x v="1"/>
    <x v="0"/>
  </r>
  <r>
    <n v="1022"/>
    <d v="2023-01-25T00:00:00"/>
    <x v="0"/>
    <d v="2023-01-25T00:00:00"/>
    <s v="David Smith"/>
    <x v="2"/>
    <x v="1"/>
    <s v="Tablet"/>
    <s v="Electronics"/>
    <n v="2"/>
    <s v="Sold"/>
    <n v="300"/>
    <n v="600"/>
    <x v="2"/>
    <x v="0"/>
  </r>
  <r>
    <n v="1023"/>
    <d v="2023-01-26T00:00:00"/>
    <x v="0"/>
    <d v="2023-01-26T00:00:00"/>
    <s v="Jane Lee"/>
    <x v="0"/>
    <x v="0"/>
    <s v="Headphones"/>
    <s v="Electronics"/>
    <n v="3"/>
    <s v="Sold"/>
    <n v="50"/>
    <n v="150"/>
    <x v="0"/>
    <x v="0"/>
  </r>
  <r>
    <n v="1024"/>
    <d v="2023-01-27T00:00:00"/>
    <x v="0"/>
    <d v="2023-01-27T00:00:00"/>
    <s v="Chris Brown"/>
    <x v="3"/>
    <x v="3"/>
    <s v="Laptop"/>
    <s v="Electronics"/>
    <n v="1"/>
    <s v="Sold"/>
    <n v="850"/>
    <n v="850"/>
    <x v="0"/>
    <x v="0"/>
  </r>
  <r>
    <n v="1025"/>
    <d v="2023-01-28T00:00:00"/>
    <x v="0"/>
    <d v="2023-01-28T00:00:00"/>
    <s v="Michael Scott"/>
    <x v="2"/>
    <x v="1"/>
    <s v="Tablet"/>
    <s v="Electronics"/>
    <n v="2"/>
    <s v="Sold"/>
    <n v="300"/>
    <n v="600"/>
    <x v="2"/>
    <x v="0"/>
  </r>
  <r>
    <n v="1026"/>
    <d v="2023-01-29T00:00:00"/>
    <x v="0"/>
    <d v="2023-01-29T00:00:00"/>
    <s v="Sarah Connor"/>
    <x v="0"/>
    <x v="2"/>
    <s v="Phone"/>
    <s v="Electronics"/>
    <n v="1"/>
    <s v="Sold"/>
    <n v="500"/>
    <n v="500"/>
    <x v="1"/>
    <x v="0"/>
  </r>
  <r>
    <n v="1001"/>
    <d v="2023-05-01T00:00:00"/>
    <x v="1"/>
    <d v="2023-05-01T00:00:00"/>
    <s v="John Doe"/>
    <x v="3"/>
    <x v="3"/>
    <s v="Laptop"/>
    <s v="Electronics"/>
    <n v="2"/>
    <s v="Sold"/>
    <n v="850"/>
    <n v="1700"/>
    <x v="0"/>
    <x v="0"/>
  </r>
  <r>
    <n v="1002"/>
    <d v="2023-06-01T00:00:00"/>
    <x v="2"/>
    <d v="2023-06-01T00:00:00"/>
    <s v="Mary Johnson"/>
    <x v="1"/>
    <x v="2"/>
    <s v="Phone"/>
    <s v="Electronics"/>
    <n v="1"/>
    <s v="Sold"/>
    <n v="500"/>
    <n v="500"/>
    <x v="1"/>
    <x v="0"/>
  </r>
  <r>
    <n v="1003"/>
    <d v="2023-07-01T00:00:00"/>
    <x v="3"/>
    <d v="2023-07-01T00:00:00"/>
    <s v="David Smith"/>
    <x v="2"/>
    <x v="1"/>
    <s v="Tablet"/>
    <s v="Electronics"/>
    <n v="3"/>
    <s v="Sold"/>
    <n v="300"/>
    <n v="900"/>
    <x v="2"/>
    <x v="1"/>
  </r>
  <r>
    <n v="1005"/>
    <d v="2023-09-01T00:00:00"/>
    <x v="4"/>
    <d v="2023-09-01T00:00:00"/>
    <s v="Chris Brown"/>
    <x v="3"/>
    <x v="3"/>
    <s v="Laptop"/>
    <s v="Electronics"/>
    <n v="1"/>
    <s v="Sold"/>
    <n v="850"/>
    <n v="850"/>
    <x v="3"/>
    <x v="0"/>
  </r>
  <r>
    <n v="1006"/>
    <d v="2023-10-01T00:00:00"/>
    <x v="5"/>
    <d v="2023-10-01T00:00:00"/>
    <s v="Unknown"/>
    <x v="1"/>
    <x v="2"/>
    <s v="Phone"/>
    <s v="Electronics"/>
    <n v="2"/>
    <s v="Sold"/>
    <n v="500"/>
    <n v="1000"/>
    <x v="1"/>
    <x v="2"/>
  </r>
  <r>
    <n v="1007"/>
    <d v="2023-11-01T00:00:00"/>
    <x v="6"/>
    <d v="2023-11-01T00:00:00"/>
    <s v="Michael Scott"/>
    <x v="2"/>
    <x v="4"/>
    <s v="Unknown"/>
    <s v="Electronics"/>
    <n v="1"/>
    <s v="Sold"/>
    <n v="300"/>
    <n v="300"/>
    <x v="2"/>
    <x v="0"/>
  </r>
  <r>
    <n v="1009"/>
    <d v="2023-12-01T00:00:00"/>
    <x v="7"/>
    <d v="2023-12-01T00:00:00"/>
    <s v="John Doe"/>
    <x v="3"/>
    <x v="3"/>
    <s v="Laptop"/>
    <s v="Electronics"/>
    <n v="-1"/>
    <s v="Returned"/>
    <n v="850"/>
    <n v="-850"/>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B1619C-7EE5-43F7-A804-3619EFCD6B9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O28:P37" firstHeaderRow="1" firstDataRow="1" firstDataCol="1"/>
  <pivotFields count="15">
    <pivotField showAll="0"/>
    <pivotField numFmtId="14" showAll="0"/>
    <pivotField axis="axisRow" showAll="0">
      <items count="9">
        <item x="0"/>
        <item x="1"/>
        <item x="2"/>
        <item x="3"/>
        <item x="4"/>
        <item x="5"/>
        <item x="6"/>
        <item x="7"/>
        <item t="default"/>
      </items>
    </pivotField>
    <pivotField numFmtId="14" showAll="0"/>
    <pivotField showAll="0"/>
    <pivotField showAll="0">
      <items count="5">
        <item x="1"/>
        <item x="2"/>
        <item x="0"/>
        <item x="3"/>
        <item t="default"/>
      </items>
    </pivotField>
    <pivotField showAll="0">
      <items count="6">
        <item x="0"/>
        <item x="3"/>
        <item x="2"/>
        <item x="1"/>
        <item x="4"/>
        <item t="default"/>
      </items>
    </pivotField>
    <pivotField showAll="0"/>
    <pivotField showAll="0"/>
    <pivotField showAll="0"/>
    <pivotField showAll="0"/>
    <pivotField showAll="0"/>
    <pivotField dataField="1" showAll="0"/>
    <pivotField showAll="0"/>
    <pivotField showAll="0">
      <items count="5">
        <item x="2"/>
        <item x="0"/>
        <item x="1"/>
        <item x="3"/>
        <item t="default"/>
      </items>
    </pivotField>
  </pivotFields>
  <rowFields count="1">
    <field x="2"/>
  </rowFields>
  <rowItems count="9">
    <i>
      <x/>
    </i>
    <i>
      <x v="1"/>
    </i>
    <i>
      <x v="2"/>
    </i>
    <i>
      <x v="3"/>
    </i>
    <i>
      <x v="4"/>
    </i>
    <i>
      <x v="5"/>
    </i>
    <i>
      <x v="6"/>
    </i>
    <i>
      <x v="7"/>
    </i>
    <i t="grand">
      <x/>
    </i>
  </rowItems>
  <colItems count="1">
    <i/>
  </colItems>
  <dataFields count="1">
    <dataField name="Total Revenue" fld="12"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1856CF-D245-459F-8F87-9C7F4FED07E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N6:O11" firstHeaderRow="1" firstDataRow="1" firstDataCol="1"/>
  <pivotFields count="15">
    <pivotField dataField="1" showAll="0"/>
    <pivotField showAll="0"/>
    <pivotField showAll="0"/>
    <pivotField showAll="0"/>
    <pivotField showAll="0"/>
    <pivotField showAll="0">
      <items count="5">
        <item x="1"/>
        <item x="2"/>
        <item x="0"/>
        <item x="3"/>
        <item t="default"/>
      </items>
    </pivotField>
    <pivotField showAll="0">
      <items count="6">
        <item x="0"/>
        <item x="3"/>
        <item x="2"/>
        <item x="1"/>
        <item x="4"/>
        <item t="default"/>
      </items>
    </pivotField>
    <pivotField showAll="0"/>
    <pivotField showAll="0"/>
    <pivotField showAll="0"/>
    <pivotField showAll="0"/>
    <pivotField showAll="0"/>
    <pivotField showAll="0"/>
    <pivotField axis="axisRow" showAll="0">
      <items count="5">
        <item x="1"/>
        <item x="0"/>
        <item x="2"/>
        <item x="3"/>
        <item t="default"/>
      </items>
    </pivotField>
    <pivotField showAll="0">
      <items count="5">
        <item x="2"/>
        <item x="0"/>
        <item x="1"/>
        <item x="3"/>
        <item t="default"/>
      </items>
    </pivotField>
  </pivotFields>
  <rowFields count="1">
    <field x="13"/>
  </rowFields>
  <rowItems count="5">
    <i>
      <x/>
    </i>
    <i>
      <x v="1"/>
    </i>
    <i>
      <x v="2"/>
    </i>
    <i>
      <x v="3"/>
    </i>
    <i t="grand">
      <x/>
    </i>
  </rowItems>
  <colItems count="1">
    <i/>
  </colItems>
  <dataFields count="1">
    <dataField name="Count of Order_ID" fld="0" subtotal="count" baseField="0" baseItem="0"/>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3" count="1" selected="0">
            <x v="0"/>
          </reference>
        </references>
      </pivotArea>
    </chartFormat>
    <chartFormat chart="1" format="2">
      <pivotArea type="data" outline="0" fieldPosition="0">
        <references count="2">
          <reference field="4294967294" count="1" selected="0">
            <x v="0"/>
          </reference>
          <reference field="13" count="1" selected="0">
            <x v="1"/>
          </reference>
        </references>
      </pivotArea>
    </chartFormat>
    <chartFormat chart="1" format="3">
      <pivotArea type="data" outline="0" fieldPosition="0">
        <references count="2">
          <reference field="4294967294" count="1" selected="0">
            <x v="0"/>
          </reference>
          <reference field="13" count="1" selected="0">
            <x v="2"/>
          </reference>
        </references>
      </pivotArea>
    </chartFormat>
    <chartFormat chart="1" format="4">
      <pivotArea type="data" outline="0" fieldPosition="0">
        <references count="2">
          <reference field="4294967294" count="1" selected="0">
            <x v="0"/>
          </reference>
          <reference field="13"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3" count="1" selected="0">
            <x v="0"/>
          </reference>
        </references>
      </pivotArea>
    </chartFormat>
    <chartFormat chart="3" format="12">
      <pivotArea type="data" outline="0" fieldPosition="0">
        <references count="2">
          <reference field="4294967294" count="1" selected="0">
            <x v="0"/>
          </reference>
          <reference field="13" count="1" selected="0">
            <x v="1"/>
          </reference>
        </references>
      </pivotArea>
    </chartFormat>
    <chartFormat chart="3" format="13">
      <pivotArea type="data" outline="0" fieldPosition="0">
        <references count="2">
          <reference field="4294967294" count="1" selected="0">
            <x v="0"/>
          </reference>
          <reference field="13" count="1" selected="0">
            <x v="2"/>
          </reference>
        </references>
      </pivotArea>
    </chartFormat>
    <chartFormat chart="3" format="14">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E777B8-1EF7-4ED4-9767-7C1BA52D0B3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15">
    <pivotField showAll="0"/>
    <pivotField showAll="0"/>
    <pivotField showAll="0"/>
    <pivotField showAll="0"/>
    <pivotField showAll="0"/>
    <pivotField axis="axisRow" showAll="0">
      <items count="5">
        <item x="1"/>
        <item x="2"/>
        <item x="0"/>
        <item x="3"/>
        <item t="default"/>
      </items>
    </pivotField>
    <pivotField showAll="0">
      <items count="6">
        <item x="0"/>
        <item x="3"/>
        <item x="2"/>
        <item x="1"/>
        <item x="4"/>
        <item t="default"/>
      </items>
    </pivotField>
    <pivotField showAll="0"/>
    <pivotField showAll="0"/>
    <pivotField showAll="0"/>
    <pivotField showAll="0"/>
    <pivotField showAll="0"/>
    <pivotField dataField="1" showAll="0"/>
    <pivotField showAll="0"/>
    <pivotField showAll="0">
      <items count="5">
        <item x="2"/>
        <item x="0"/>
        <item x="1"/>
        <item x="3"/>
        <item t="default"/>
      </items>
    </pivotField>
  </pivotFields>
  <rowFields count="1">
    <field x="5"/>
  </rowFields>
  <rowItems count="5">
    <i>
      <x/>
    </i>
    <i>
      <x v="1"/>
    </i>
    <i>
      <x v="2"/>
    </i>
    <i>
      <x v="3"/>
    </i>
    <i t="grand">
      <x/>
    </i>
  </rowItems>
  <colItems count="1">
    <i/>
  </colItems>
  <dataFields count="1">
    <dataField name="Sum of Total Sales" fld="12" baseField="0" baseItem="0"/>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4162E3-D71E-4A8B-A385-CADE8EA785C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4:B30" firstHeaderRow="1" firstDataRow="1" firstDataCol="1"/>
  <pivotFields count="15">
    <pivotField showAll="0"/>
    <pivotField showAll="0"/>
    <pivotField showAll="0"/>
    <pivotField showAll="0"/>
    <pivotField showAll="0"/>
    <pivotField showAll="0">
      <items count="5">
        <item x="1"/>
        <item x="2"/>
        <item x="0"/>
        <item x="3"/>
        <item t="default"/>
      </items>
    </pivotField>
    <pivotField axis="axisRow" showAll="0">
      <items count="6">
        <item x="0"/>
        <item x="3"/>
        <item x="2"/>
        <item x="1"/>
        <item x="4"/>
        <item t="default"/>
      </items>
    </pivotField>
    <pivotField showAll="0"/>
    <pivotField showAll="0"/>
    <pivotField showAll="0"/>
    <pivotField showAll="0"/>
    <pivotField showAll="0"/>
    <pivotField dataField="1" showAll="0"/>
    <pivotField showAll="0"/>
    <pivotField showAll="0">
      <items count="5">
        <item x="2"/>
        <item x="0"/>
        <item x="1"/>
        <item x="3"/>
        <item t="default"/>
      </items>
    </pivotField>
  </pivotFields>
  <rowFields count="1">
    <field x="6"/>
  </rowFields>
  <rowItems count="6">
    <i>
      <x/>
    </i>
    <i>
      <x v="1"/>
    </i>
    <i>
      <x v="2"/>
    </i>
    <i>
      <x v="3"/>
    </i>
    <i>
      <x v="4"/>
    </i>
    <i t="grand">
      <x/>
    </i>
  </rowItems>
  <colItems count="1">
    <i/>
  </colItems>
  <dataFields count="1">
    <dataField name="Sum of Total Sales" fld="12" baseField="0" baseItem="0"/>
  </dataFields>
  <chartFormats count="2">
    <chartFormat chart="6"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BA025A1-68ED-4215-AE4C-493281292E0B}" sourceName="Region">
  <pivotTables>
    <pivotTable tabId="3" name="PivotTable2"/>
    <pivotTable tabId="3" name="PivotTable1"/>
    <pivotTable tabId="3" name="PivotTable4"/>
    <pivotTable tabId="3" name="PivotTable5"/>
  </pivotTables>
  <data>
    <tabular pivotCacheId="1731517810">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0E84328-D645-403E-90D3-CE1E5A335FC3}" sourceName="Product">
  <pivotTables>
    <pivotTable tabId="3" name="PivotTable2"/>
    <pivotTable tabId="3" name="PivotTable1"/>
    <pivotTable tabId="3" name="PivotTable4"/>
    <pivotTable tabId="3" name="PivotTable5"/>
  </pivotTables>
  <data>
    <tabular pivotCacheId="1731517810">
      <items count="5">
        <i x="0" s="1"/>
        <i x="3"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9CD1E32B-49B9-4D97-9C05-A5B81BD6F264}" sourceName="Status">
  <pivotTables>
    <pivotTable tabId="3" name="PivotTable2"/>
    <pivotTable tabId="3" name="PivotTable1"/>
    <pivotTable tabId="3" name="PivotTable4"/>
    <pivotTable tabId="3" name="PivotTable5"/>
  </pivotTables>
  <data>
    <tabular pivotCacheId="1731517810">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2BF2333-9230-4C70-9B6C-FFD168A7A56B}" cache="Slicer_Region" caption="Region" rowHeight="241300"/>
  <slicer name="Product" xr10:uid="{19E12CBF-A147-4859-AD88-22C31D5AF90B}" cache="Slicer_Product" caption="Product" rowHeight="241300"/>
  <slicer name="Status" xr10:uid="{D401921F-FA4D-40F3-96CA-AD432D6F181A}" cache="Slicer_Status" caption="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8FD8CA-7CC5-4535-BF47-7CB4A49D2401}" name="Table1" displayName="Table1" ref="A1:O27" totalsRowShown="0">
  <autoFilter ref="A1:O27" xr:uid="{A7BC903F-B30C-4744-BAFB-C08D96DAF9BC}"/>
  <sortState xmlns:xlrd2="http://schemas.microsoft.com/office/spreadsheetml/2017/richdata2" ref="A2:O27">
    <sortCondition ref="D1:D27"/>
  </sortState>
  <tableColumns count="15">
    <tableColumn id="1" xr3:uid="{423A5410-2AB7-43AE-AEBC-DCEAFDF2DB4F}" name="Order_ID"/>
    <tableColumn id="2" xr3:uid="{AA717921-C9A7-4177-86AB-0AE76AB6EEEA}" name="Order Date" dataDxfId="3"/>
    <tableColumn id="13" xr3:uid="{A520B691-A85A-4DD1-A319-80FC1BD05AE6}" name="Order Month" dataDxfId="2">
      <calculatedColumnFormula>TEXT(Table1[Order Date],"mmm")</calculatedColumnFormula>
    </tableColumn>
    <tableColumn id="3" xr3:uid="{128D2B9E-D3FC-4A72-A2B2-33E00153B621}" name="Ship_Date"/>
    <tableColumn id="4" xr3:uid="{45F2E923-5840-45DB-9AC5-344577F9DD3A}" name="Customer Name"/>
    <tableColumn id="5" xr3:uid="{13D41A46-A1AC-4CC5-9E99-A4841408250C}" name="Region"/>
    <tableColumn id="6" xr3:uid="{85C1B8B3-557A-4682-AC3E-324BFEDD4E57}" name="Product"/>
    <tableColumn id="25" xr3:uid="{A58B0AD5-CA47-470F-8593-458A6A365435}" name="Column1" dataDxfId="1">
      <calculatedColumnFormula>PROPER(TRIM(G2))</calculatedColumnFormula>
    </tableColumn>
    <tableColumn id="7" xr3:uid="{11A96ABC-F548-492D-AA35-83E22573946F}" name="Category"/>
    <tableColumn id="8" xr3:uid="{CD0166CA-1C28-4E61-9170-7A2552DAA2E5}" name="Quantity"/>
    <tableColumn id="19" xr3:uid="{EA1AC826-E0CB-4AC4-89F0-17EE73FE4348}" name="Quantity Status" dataDxfId="0">
      <calculatedColumnFormula>IF(J2&lt;0,"Returned","Sold")</calculatedColumnFormula>
    </tableColumn>
    <tableColumn id="9" xr3:uid="{D324472D-B838-473A-867E-D5E4B489A664}" name="Unit Price"/>
    <tableColumn id="10" xr3:uid="{4E95612E-C6B6-48C6-A4D1-14B5D2334304}" name="Total Sales"/>
    <tableColumn id="11" xr3:uid="{A000E646-EE26-4E4B-A306-BC15C8CF3F7E}" name="Payment Method"/>
    <tableColumn id="12" xr3:uid="{93934CF1-78BA-439E-85B0-57A0A8914C14}" name="Status"/>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DB6FF-CFB9-440F-9DDD-3888AFC862D1}">
  <dimension ref="A1:L27"/>
  <sheetViews>
    <sheetView workbookViewId="0"/>
  </sheetViews>
  <sheetFormatPr defaultRowHeight="14.5" x14ac:dyDescent="0.35"/>
  <cols>
    <col min="2" max="2" width="10.08984375" bestFit="1" customWidth="1"/>
    <col min="3" max="3" width="10.54296875" customWidth="1"/>
    <col min="4" max="4" width="11.36328125" customWidth="1"/>
    <col min="7" max="7" width="12.36328125" customWidth="1"/>
    <col min="9" max="9" width="8.7265625" customWidth="1"/>
    <col min="10" max="10" width="10.453125" customWidth="1"/>
    <col min="11" max="11" width="14.90625" customWidth="1"/>
    <col min="12" max="12" width="11.453125" customWidth="1"/>
  </cols>
  <sheetData>
    <row r="1" spans="1:12" x14ac:dyDescent="0.35">
      <c r="A1" t="s">
        <v>0</v>
      </c>
      <c r="B1" t="s">
        <v>1</v>
      </c>
      <c r="C1" t="s">
        <v>21</v>
      </c>
      <c r="D1" t="s">
        <v>2</v>
      </c>
      <c r="E1" t="s">
        <v>3</v>
      </c>
      <c r="F1" t="s">
        <v>4</v>
      </c>
      <c r="G1" t="s">
        <v>5</v>
      </c>
      <c r="H1" t="s">
        <v>6</v>
      </c>
      <c r="I1" t="s">
        <v>8</v>
      </c>
      <c r="J1" t="s">
        <v>22</v>
      </c>
      <c r="K1" t="s">
        <v>7</v>
      </c>
      <c r="L1" t="s">
        <v>9</v>
      </c>
    </row>
    <row r="2" spans="1:12" x14ac:dyDescent="0.35">
      <c r="A2">
        <v>1001</v>
      </c>
      <c r="B2" s="1">
        <v>44931</v>
      </c>
      <c r="C2" s="1">
        <v>45047</v>
      </c>
      <c r="D2" t="s">
        <v>23</v>
      </c>
      <c r="E2" t="s">
        <v>10</v>
      </c>
      <c r="F2" t="s">
        <v>20</v>
      </c>
      <c r="G2" t="s">
        <v>11</v>
      </c>
      <c r="H2">
        <v>2</v>
      </c>
      <c r="I2">
        <v>850</v>
      </c>
      <c r="J2">
        <v>1700</v>
      </c>
      <c r="K2" t="s">
        <v>24</v>
      </c>
      <c r="L2" t="s">
        <v>25</v>
      </c>
    </row>
    <row r="3" spans="1:12" x14ac:dyDescent="0.35">
      <c r="A3">
        <v>1002</v>
      </c>
      <c r="B3" s="1">
        <v>44932</v>
      </c>
      <c r="C3" s="1">
        <v>45108</v>
      </c>
      <c r="D3" t="s">
        <v>13</v>
      </c>
      <c r="E3" t="s">
        <v>15</v>
      </c>
      <c r="F3" t="s">
        <v>26</v>
      </c>
      <c r="G3" t="s">
        <v>11</v>
      </c>
      <c r="H3">
        <v>1</v>
      </c>
      <c r="I3">
        <v>500</v>
      </c>
      <c r="J3">
        <v>500</v>
      </c>
      <c r="K3" t="s">
        <v>12</v>
      </c>
      <c r="L3" t="s">
        <v>25</v>
      </c>
    </row>
    <row r="4" spans="1:12" x14ac:dyDescent="0.35">
      <c r="A4">
        <v>1003</v>
      </c>
      <c r="B4" s="1">
        <v>44933</v>
      </c>
      <c r="C4" s="1">
        <v>44935</v>
      </c>
      <c r="D4" t="s">
        <v>27</v>
      </c>
      <c r="E4" t="s">
        <v>18</v>
      </c>
      <c r="F4" t="s">
        <v>28</v>
      </c>
      <c r="G4" t="s">
        <v>11</v>
      </c>
      <c r="H4">
        <v>3</v>
      </c>
      <c r="I4">
        <v>300</v>
      </c>
      <c r="J4">
        <v>900</v>
      </c>
      <c r="K4" t="s">
        <v>29</v>
      </c>
      <c r="L4" t="s">
        <v>17</v>
      </c>
    </row>
    <row r="5" spans="1:12" x14ac:dyDescent="0.35">
      <c r="A5">
        <v>1004</v>
      </c>
      <c r="B5" s="1">
        <v>45139</v>
      </c>
      <c r="D5" t="s">
        <v>30</v>
      </c>
      <c r="E5" t="s">
        <v>14</v>
      </c>
      <c r="F5" t="s">
        <v>16</v>
      </c>
      <c r="G5" t="s">
        <v>11</v>
      </c>
      <c r="H5">
        <v>5</v>
      </c>
      <c r="I5">
        <v>50</v>
      </c>
      <c r="J5">
        <v>250</v>
      </c>
      <c r="K5" t="s">
        <v>24</v>
      </c>
      <c r="L5" t="s">
        <v>25</v>
      </c>
    </row>
    <row r="6" spans="1:12" x14ac:dyDescent="0.35">
      <c r="A6">
        <v>1005</v>
      </c>
      <c r="B6" s="1">
        <v>44935</v>
      </c>
      <c r="C6" s="1">
        <v>45200</v>
      </c>
      <c r="D6" t="s">
        <v>31</v>
      </c>
      <c r="E6" t="s">
        <v>10</v>
      </c>
      <c r="F6" t="s">
        <v>20</v>
      </c>
      <c r="G6" t="s">
        <v>11</v>
      </c>
      <c r="H6">
        <v>1</v>
      </c>
      <c r="I6">
        <v>850</v>
      </c>
      <c r="J6">
        <v>850</v>
      </c>
      <c r="L6" t="s">
        <v>25</v>
      </c>
    </row>
    <row r="7" spans="1:12" x14ac:dyDescent="0.35">
      <c r="A7">
        <v>1006</v>
      </c>
      <c r="B7" s="1">
        <v>44936</v>
      </c>
      <c r="C7" s="1">
        <v>45261</v>
      </c>
      <c r="E7" t="s">
        <v>15</v>
      </c>
      <c r="F7" t="s">
        <v>26</v>
      </c>
      <c r="G7" t="s">
        <v>11</v>
      </c>
      <c r="H7">
        <v>2</v>
      </c>
      <c r="I7">
        <v>500</v>
      </c>
      <c r="J7">
        <v>1000</v>
      </c>
      <c r="K7" t="s">
        <v>12</v>
      </c>
      <c r="L7" t="s">
        <v>32</v>
      </c>
    </row>
    <row r="8" spans="1:12" x14ac:dyDescent="0.35">
      <c r="A8">
        <v>1007</v>
      </c>
      <c r="B8" s="1">
        <v>44937</v>
      </c>
      <c r="C8" t="s">
        <v>33</v>
      </c>
      <c r="D8" t="s">
        <v>34</v>
      </c>
      <c r="E8" t="s">
        <v>18</v>
      </c>
      <c r="G8" t="s">
        <v>11</v>
      </c>
      <c r="H8">
        <v>1</v>
      </c>
      <c r="I8">
        <v>300</v>
      </c>
      <c r="J8">
        <v>300</v>
      </c>
      <c r="K8" t="s">
        <v>29</v>
      </c>
      <c r="L8" t="s">
        <v>25</v>
      </c>
    </row>
    <row r="9" spans="1:12" x14ac:dyDescent="0.35">
      <c r="A9">
        <v>1008</v>
      </c>
      <c r="B9" s="1">
        <v>45231</v>
      </c>
      <c r="C9" t="s">
        <v>35</v>
      </c>
      <c r="D9" t="s">
        <v>36</v>
      </c>
      <c r="E9" t="s">
        <v>14</v>
      </c>
      <c r="F9" t="s">
        <v>28</v>
      </c>
      <c r="G9" t="s">
        <v>11</v>
      </c>
      <c r="H9">
        <v>2</v>
      </c>
      <c r="J9">
        <v>600</v>
      </c>
      <c r="K9" t="s">
        <v>24</v>
      </c>
      <c r="L9" t="s">
        <v>25</v>
      </c>
    </row>
    <row r="10" spans="1:12" x14ac:dyDescent="0.35">
      <c r="A10">
        <v>1009</v>
      </c>
      <c r="B10" s="1">
        <v>44938</v>
      </c>
      <c r="C10" s="1">
        <v>44940</v>
      </c>
      <c r="D10" t="s">
        <v>23</v>
      </c>
      <c r="E10" t="s">
        <v>10</v>
      </c>
      <c r="F10" t="s">
        <v>20</v>
      </c>
      <c r="G10" t="s">
        <v>11</v>
      </c>
      <c r="H10">
        <v>-1</v>
      </c>
      <c r="I10">
        <v>850</v>
      </c>
      <c r="J10">
        <v>-850</v>
      </c>
      <c r="K10" t="s">
        <v>24</v>
      </c>
      <c r="L10" t="s">
        <v>19</v>
      </c>
    </row>
    <row r="11" spans="1:12" x14ac:dyDescent="0.35">
      <c r="A11">
        <v>1010</v>
      </c>
      <c r="B11" s="1">
        <v>44939</v>
      </c>
      <c r="C11" t="s">
        <v>37</v>
      </c>
      <c r="D11" t="s">
        <v>13</v>
      </c>
      <c r="E11" t="s">
        <v>15</v>
      </c>
      <c r="F11" t="s">
        <v>26</v>
      </c>
      <c r="G11" t="s">
        <v>11</v>
      </c>
      <c r="H11">
        <v>1</v>
      </c>
      <c r="I11">
        <v>500</v>
      </c>
      <c r="J11">
        <v>500</v>
      </c>
      <c r="K11" t="s">
        <v>12</v>
      </c>
      <c r="L11" t="s">
        <v>25</v>
      </c>
    </row>
    <row r="12" spans="1:12" x14ac:dyDescent="0.35">
      <c r="A12">
        <v>1011</v>
      </c>
      <c r="B12" s="1">
        <v>44940</v>
      </c>
      <c r="C12" t="s">
        <v>38</v>
      </c>
      <c r="D12" t="s">
        <v>27</v>
      </c>
      <c r="E12" t="s">
        <v>18</v>
      </c>
      <c r="F12" t="s">
        <v>28</v>
      </c>
      <c r="G12" t="s">
        <v>11</v>
      </c>
      <c r="H12">
        <v>2</v>
      </c>
      <c r="I12">
        <v>300</v>
      </c>
      <c r="J12">
        <v>600</v>
      </c>
      <c r="K12" t="s">
        <v>29</v>
      </c>
      <c r="L12" t="s">
        <v>25</v>
      </c>
    </row>
    <row r="13" spans="1:12" x14ac:dyDescent="0.35">
      <c r="A13">
        <v>1012</v>
      </c>
      <c r="B13" s="1">
        <v>44941</v>
      </c>
      <c r="C13" t="s">
        <v>39</v>
      </c>
      <c r="D13" t="s">
        <v>30</v>
      </c>
      <c r="E13" t="s">
        <v>14</v>
      </c>
      <c r="F13" t="s">
        <v>16</v>
      </c>
      <c r="G13" t="s">
        <v>11</v>
      </c>
      <c r="H13" t="s">
        <v>40</v>
      </c>
      <c r="I13">
        <v>50</v>
      </c>
      <c r="J13">
        <v>250</v>
      </c>
      <c r="K13" t="s">
        <v>24</v>
      </c>
      <c r="L13" t="s">
        <v>25</v>
      </c>
    </row>
    <row r="14" spans="1:12" x14ac:dyDescent="0.35">
      <c r="A14">
        <v>1013</v>
      </c>
      <c r="B14" s="1">
        <v>44942</v>
      </c>
      <c r="C14" t="s">
        <v>41</v>
      </c>
      <c r="D14" t="s">
        <v>31</v>
      </c>
      <c r="E14" t="s">
        <v>10</v>
      </c>
      <c r="F14" t="s">
        <v>20</v>
      </c>
      <c r="G14" t="s">
        <v>11</v>
      </c>
      <c r="H14">
        <v>1</v>
      </c>
      <c r="I14">
        <v>850</v>
      </c>
      <c r="J14">
        <v>850</v>
      </c>
      <c r="K14" t="s">
        <v>24</v>
      </c>
      <c r="L14" t="s">
        <v>25</v>
      </c>
    </row>
    <row r="15" spans="1:12" x14ac:dyDescent="0.35">
      <c r="A15">
        <v>1014</v>
      </c>
      <c r="B15" s="1">
        <v>44943</v>
      </c>
      <c r="C15" t="s">
        <v>42</v>
      </c>
      <c r="D15" t="s">
        <v>13</v>
      </c>
      <c r="E15" t="s">
        <v>15</v>
      </c>
      <c r="F15" t="s">
        <v>26</v>
      </c>
      <c r="G15" t="s">
        <v>11</v>
      </c>
      <c r="H15">
        <v>1</v>
      </c>
      <c r="I15">
        <v>500</v>
      </c>
      <c r="J15">
        <v>500</v>
      </c>
      <c r="K15" t="s">
        <v>12</v>
      </c>
      <c r="L15" t="s">
        <v>25</v>
      </c>
    </row>
    <row r="16" spans="1:12" x14ac:dyDescent="0.35">
      <c r="A16">
        <v>1015</v>
      </c>
      <c r="B16" s="1">
        <v>44944</v>
      </c>
      <c r="D16" t="s">
        <v>27</v>
      </c>
      <c r="E16" t="s">
        <v>18</v>
      </c>
      <c r="F16" t="s">
        <v>28</v>
      </c>
      <c r="G16" t="s">
        <v>11</v>
      </c>
      <c r="H16">
        <v>2</v>
      </c>
      <c r="I16">
        <v>300</v>
      </c>
      <c r="J16">
        <v>600</v>
      </c>
      <c r="K16" t="s">
        <v>29</v>
      </c>
      <c r="L16" t="s">
        <v>17</v>
      </c>
    </row>
    <row r="17" spans="1:12" x14ac:dyDescent="0.35">
      <c r="A17">
        <v>1016</v>
      </c>
      <c r="B17" s="1">
        <v>44945</v>
      </c>
      <c r="C17" t="s">
        <v>43</v>
      </c>
      <c r="D17" t="s">
        <v>30</v>
      </c>
      <c r="E17" t="s">
        <v>14</v>
      </c>
      <c r="F17" t="s">
        <v>16</v>
      </c>
      <c r="G17" t="s">
        <v>11</v>
      </c>
      <c r="H17">
        <v>3</v>
      </c>
      <c r="I17">
        <v>50</v>
      </c>
      <c r="J17">
        <v>150</v>
      </c>
      <c r="K17" t="s">
        <v>24</v>
      </c>
      <c r="L17" t="s">
        <v>25</v>
      </c>
    </row>
    <row r="18" spans="1:12" x14ac:dyDescent="0.35">
      <c r="A18">
        <v>1017</v>
      </c>
      <c r="B18" s="1">
        <v>44946</v>
      </c>
      <c r="C18" t="s">
        <v>44</v>
      </c>
      <c r="D18" t="s">
        <v>31</v>
      </c>
      <c r="E18" t="s">
        <v>10</v>
      </c>
      <c r="F18" t="s">
        <v>20</v>
      </c>
      <c r="G18" t="s">
        <v>11</v>
      </c>
      <c r="H18">
        <v>1</v>
      </c>
      <c r="I18">
        <v>850</v>
      </c>
      <c r="J18">
        <v>850</v>
      </c>
      <c r="K18" t="s">
        <v>24</v>
      </c>
      <c r="L18" t="s">
        <v>25</v>
      </c>
    </row>
    <row r="19" spans="1:12" x14ac:dyDescent="0.35">
      <c r="A19">
        <v>1018</v>
      </c>
      <c r="B19" s="1">
        <v>44947</v>
      </c>
      <c r="C19" t="s">
        <v>45</v>
      </c>
      <c r="D19" t="s">
        <v>34</v>
      </c>
      <c r="E19" t="s">
        <v>18</v>
      </c>
      <c r="F19" t="s">
        <v>28</v>
      </c>
      <c r="G19" t="s">
        <v>11</v>
      </c>
      <c r="H19">
        <v>2</v>
      </c>
      <c r="I19">
        <v>300</v>
      </c>
      <c r="J19">
        <v>600</v>
      </c>
      <c r="K19" t="s">
        <v>29</v>
      </c>
      <c r="L19" t="s">
        <v>25</v>
      </c>
    </row>
    <row r="20" spans="1:12" x14ac:dyDescent="0.35">
      <c r="A20">
        <v>1019</v>
      </c>
      <c r="B20" s="1">
        <v>44948</v>
      </c>
      <c r="C20" t="s">
        <v>46</v>
      </c>
      <c r="D20" t="s">
        <v>36</v>
      </c>
      <c r="E20" t="s">
        <v>14</v>
      </c>
      <c r="F20" t="s">
        <v>26</v>
      </c>
      <c r="G20" t="s">
        <v>11</v>
      </c>
      <c r="H20">
        <v>1</v>
      </c>
      <c r="I20">
        <v>500</v>
      </c>
      <c r="J20">
        <v>500</v>
      </c>
      <c r="K20" t="s">
        <v>12</v>
      </c>
      <c r="L20" t="s">
        <v>25</v>
      </c>
    </row>
    <row r="21" spans="1:12" x14ac:dyDescent="0.35">
      <c r="A21">
        <v>1020</v>
      </c>
      <c r="B21" s="1">
        <v>44949</v>
      </c>
      <c r="C21" t="s">
        <v>47</v>
      </c>
      <c r="D21" t="s">
        <v>23</v>
      </c>
      <c r="E21" t="s">
        <v>10</v>
      </c>
      <c r="F21" t="s">
        <v>20</v>
      </c>
      <c r="G21" t="s">
        <v>11</v>
      </c>
      <c r="H21">
        <v>2</v>
      </c>
      <c r="I21">
        <v>850</v>
      </c>
      <c r="J21">
        <v>1700</v>
      </c>
      <c r="K21" t="s">
        <v>24</v>
      </c>
      <c r="L21" t="s">
        <v>25</v>
      </c>
    </row>
    <row r="22" spans="1:12" x14ac:dyDescent="0.35">
      <c r="A22">
        <v>1021</v>
      </c>
      <c r="B22" s="1">
        <v>44950</v>
      </c>
      <c r="C22" t="s">
        <v>48</v>
      </c>
      <c r="D22" t="s">
        <v>13</v>
      </c>
      <c r="E22" t="s">
        <v>15</v>
      </c>
      <c r="F22" t="s">
        <v>26</v>
      </c>
      <c r="G22" t="s">
        <v>11</v>
      </c>
      <c r="H22">
        <v>1</v>
      </c>
      <c r="I22">
        <v>500</v>
      </c>
      <c r="J22">
        <v>500</v>
      </c>
      <c r="K22" t="s">
        <v>12</v>
      </c>
      <c r="L22" t="s">
        <v>25</v>
      </c>
    </row>
    <row r="23" spans="1:12" x14ac:dyDescent="0.35">
      <c r="A23">
        <v>1022</v>
      </c>
      <c r="B23" s="1">
        <v>44951</v>
      </c>
      <c r="C23" t="s">
        <v>49</v>
      </c>
      <c r="D23" t="s">
        <v>27</v>
      </c>
      <c r="E23" t="s">
        <v>18</v>
      </c>
      <c r="F23" t="s">
        <v>28</v>
      </c>
      <c r="G23" t="s">
        <v>11</v>
      </c>
      <c r="H23">
        <v>2</v>
      </c>
      <c r="I23">
        <v>300</v>
      </c>
      <c r="J23">
        <v>600</v>
      </c>
      <c r="K23" t="s">
        <v>29</v>
      </c>
      <c r="L23" t="s">
        <v>25</v>
      </c>
    </row>
    <row r="24" spans="1:12" x14ac:dyDescent="0.35">
      <c r="A24">
        <v>1023</v>
      </c>
      <c r="B24" s="1">
        <v>44952</v>
      </c>
      <c r="C24" t="s">
        <v>50</v>
      </c>
      <c r="D24" t="s">
        <v>30</v>
      </c>
      <c r="E24" t="s">
        <v>14</v>
      </c>
      <c r="F24" t="s">
        <v>16</v>
      </c>
      <c r="G24" t="s">
        <v>11</v>
      </c>
      <c r="H24">
        <v>3</v>
      </c>
      <c r="I24">
        <v>50</v>
      </c>
      <c r="J24">
        <v>150</v>
      </c>
      <c r="K24" t="s">
        <v>24</v>
      </c>
      <c r="L24" t="s">
        <v>25</v>
      </c>
    </row>
    <row r="25" spans="1:12" x14ac:dyDescent="0.35">
      <c r="A25">
        <v>1024</v>
      </c>
      <c r="B25" s="1">
        <v>44953</v>
      </c>
      <c r="C25" t="s">
        <v>51</v>
      </c>
      <c r="D25" t="s">
        <v>31</v>
      </c>
      <c r="E25" t="s">
        <v>10</v>
      </c>
      <c r="F25" t="s">
        <v>20</v>
      </c>
      <c r="G25" t="s">
        <v>11</v>
      </c>
      <c r="H25">
        <v>1</v>
      </c>
      <c r="I25">
        <v>850</v>
      </c>
      <c r="J25">
        <v>850</v>
      </c>
      <c r="K25" t="s">
        <v>24</v>
      </c>
      <c r="L25" t="s">
        <v>25</v>
      </c>
    </row>
    <row r="26" spans="1:12" x14ac:dyDescent="0.35">
      <c r="A26">
        <v>1025</v>
      </c>
      <c r="B26" s="1">
        <v>44954</v>
      </c>
      <c r="C26" t="s">
        <v>52</v>
      </c>
      <c r="D26" t="s">
        <v>34</v>
      </c>
      <c r="E26" t="s">
        <v>18</v>
      </c>
      <c r="F26" t="s">
        <v>28</v>
      </c>
      <c r="G26" t="s">
        <v>11</v>
      </c>
      <c r="H26">
        <v>2</v>
      </c>
      <c r="I26">
        <v>300</v>
      </c>
      <c r="J26">
        <v>600</v>
      </c>
      <c r="K26" t="s">
        <v>29</v>
      </c>
      <c r="L26" t="s">
        <v>25</v>
      </c>
    </row>
    <row r="27" spans="1:12" x14ac:dyDescent="0.35">
      <c r="A27">
        <v>1026</v>
      </c>
      <c r="B27" s="1">
        <v>44955</v>
      </c>
      <c r="C27" t="s">
        <v>53</v>
      </c>
      <c r="D27" t="s">
        <v>36</v>
      </c>
      <c r="E27" t="s">
        <v>14</v>
      </c>
      <c r="F27" t="s">
        <v>26</v>
      </c>
      <c r="G27" t="s">
        <v>11</v>
      </c>
      <c r="H27">
        <v>1</v>
      </c>
      <c r="I27">
        <v>500</v>
      </c>
      <c r="J27">
        <v>500</v>
      </c>
      <c r="K27" t="s">
        <v>12</v>
      </c>
      <c r="L27" t="s">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4D6A3-09B1-4897-92F2-7ECD3E75E18F}">
  <dimension ref="A1:O27"/>
  <sheetViews>
    <sheetView topLeftCell="C3" zoomScale="89" zoomScaleNormal="89" workbookViewId="0">
      <selection activeCell="C2" sqref="C2"/>
    </sheetView>
  </sheetViews>
  <sheetFormatPr defaultRowHeight="14.5" x14ac:dyDescent="0.35"/>
  <cols>
    <col min="1" max="1" width="12" customWidth="1"/>
    <col min="2" max="4" width="13.08984375" customWidth="1"/>
    <col min="5" max="5" width="16.6328125" customWidth="1"/>
    <col min="6" max="6" width="15.54296875" customWidth="1"/>
    <col min="7" max="7" width="14.08984375" customWidth="1"/>
    <col min="8" max="8" width="12.36328125" customWidth="1"/>
    <col min="9" max="10" width="12.6328125" customWidth="1"/>
    <col min="11" max="11" width="15.54296875" customWidth="1"/>
    <col min="12" max="12" width="10.90625" customWidth="1"/>
    <col min="13" max="13" width="12.453125" customWidth="1"/>
    <col min="14" max="14" width="16.90625" customWidth="1"/>
    <col min="15" max="15" width="17.453125" customWidth="1"/>
    <col min="16" max="16" width="18.90625" customWidth="1"/>
  </cols>
  <sheetData>
    <row r="1" spans="1:15" x14ac:dyDescent="0.35">
      <c r="A1" t="s">
        <v>0</v>
      </c>
      <c r="B1" t="s">
        <v>1</v>
      </c>
      <c r="C1" t="s">
        <v>74</v>
      </c>
      <c r="D1" s="1" t="s">
        <v>21</v>
      </c>
      <c r="E1" t="s">
        <v>2</v>
      </c>
      <c r="F1" t="s">
        <v>3</v>
      </c>
      <c r="G1" t="s">
        <v>4</v>
      </c>
      <c r="H1" t="s">
        <v>54</v>
      </c>
      <c r="I1" t="s">
        <v>5</v>
      </c>
      <c r="J1" t="s">
        <v>6</v>
      </c>
      <c r="K1" t="s">
        <v>56</v>
      </c>
      <c r="L1" t="s">
        <v>8</v>
      </c>
      <c r="M1" t="s">
        <v>22</v>
      </c>
      <c r="N1" t="s">
        <v>7</v>
      </c>
      <c r="O1" t="s">
        <v>9</v>
      </c>
    </row>
    <row r="2" spans="1:15" x14ac:dyDescent="0.35">
      <c r="A2">
        <v>1004</v>
      </c>
      <c r="B2" s="1">
        <v>44934</v>
      </c>
      <c r="C2" s="1" t="str">
        <f>TEXT(Table1[Order Date],"mmm")</f>
        <v>Jan</v>
      </c>
      <c r="D2" s="1">
        <v>44934</v>
      </c>
      <c r="E2" t="s">
        <v>30</v>
      </c>
      <c r="F2" t="s">
        <v>60</v>
      </c>
      <c r="G2" t="s">
        <v>16</v>
      </c>
      <c r="H2" t="str">
        <f t="shared" ref="H2:H27" si="0">PROPER(TRIM(G2))</f>
        <v>Headphones</v>
      </c>
      <c r="I2" t="s">
        <v>11</v>
      </c>
      <c r="J2">
        <v>5</v>
      </c>
      <c r="K2" t="str">
        <f t="shared" ref="K2:K27" si="1">IF(J2&lt;0,"Returned","Sold")</f>
        <v>Sold</v>
      </c>
      <c r="L2">
        <v>50</v>
      </c>
      <c r="M2">
        <v>250</v>
      </c>
      <c r="N2" t="s">
        <v>24</v>
      </c>
      <c r="O2" t="s">
        <v>25</v>
      </c>
    </row>
    <row r="3" spans="1:15" x14ac:dyDescent="0.35">
      <c r="A3">
        <v>1008</v>
      </c>
      <c r="B3" s="1">
        <v>44937</v>
      </c>
      <c r="C3" s="1" t="str">
        <f>TEXT(Table1[Order Date],"mmm")</f>
        <v>Jan</v>
      </c>
      <c r="D3" s="1">
        <v>44937</v>
      </c>
      <c r="E3" t="s">
        <v>36</v>
      </c>
      <c r="F3" t="s">
        <v>60</v>
      </c>
      <c r="G3" t="s">
        <v>28</v>
      </c>
      <c r="H3" t="str">
        <f t="shared" si="0"/>
        <v>Tablet</v>
      </c>
      <c r="I3" t="s">
        <v>11</v>
      </c>
      <c r="J3">
        <v>2</v>
      </c>
      <c r="K3" t="str">
        <f t="shared" si="1"/>
        <v>Sold</v>
      </c>
      <c r="L3">
        <v>300</v>
      </c>
      <c r="M3">
        <v>600</v>
      </c>
      <c r="N3" t="s">
        <v>24</v>
      </c>
      <c r="O3" t="s">
        <v>25</v>
      </c>
    </row>
    <row r="4" spans="1:15" x14ac:dyDescent="0.35">
      <c r="A4">
        <v>1010</v>
      </c>
      <c r="B4" s="1">
        <v>44939</v>
      </c>
      <c r="C4" s="1" t="str">
        <f>TEXT(Table1[Order Date],"mmm")</f>
        <v>Jan</v>
      </c>
      <c r="D4" s="1">
        <v>44939</v>
      </c>
      <c r="E4" t="s">
        <v>13</v>
      </c>
      <c r="F4" t="s">
        <v>58</v>
      </c>
      <c r="G4" t="s">
        <v>26</v>
      </c>
      <c r="H4" t="str">
        <f t="shared" si="0"/>
        <v>Phone</v>
      </c>
      <c r="I4" t="s">
        <v>11</v>
      </c>
      <c r="J4">
        <v>1</v>
      </c>
      <c r="K4" t="str">
        <f t="shared" si="1"/>
        <v>Sold</v>
      </c>
      <c r="L4">
        <v>500</v>
      </c>
      <c r="M4">
        <v>500</v>
      </c>
      <c r="N4" t="s">
        <v>12</v>
      </c>
      <c r="O4" t="s">
        <v>25</v>
      </c>
    </row>
    <row r="5" spans="1:15" x14ac:dyDescent="0.35">
      <c r="A5">
        <v>1011</v>
      </c>
      <c r="B5" s="1">
        <v>44940</v>
      </c>
      <c r="C5" s="1" t="str">
        <f>TEXT(Table1[Order Date],"mmm")</f>
        <v>Jan</v>
      </c>
      <c r="D5" s="1">
        <v>44940</v>
      </c>
      <c r="E5" t="s">
        <v>27</v>
      </c>
      <c r="F5" t="s">
        <v>59</v>
      </c>
      <c r="G5" t="s">
        <v>28</v>
      </c>
      <c r="H5" t="str">
        <f t="shared" si="0"/>
        <v>Tablet</v>
      </c>
      <c r="I5" t="s">
        <v>11</v>
      </c>
      <c r="J5">
        <v>2</v>
      </c>
      <c r="K5" t="str">
        <f t="shared" si="1"/>
        <v>Sold</v>
      </c>
      <c r="L5">
        <v>300</v>
      </c>
      <c r="M5">
        <v>600</v>
      </c>
      <c r="N5" t="s">
        <v>29</v>
      </c>
      <c r="O5" t="s">
        <v>25</v>
      </c>
    </row>
    <row r="6" spans="1:15" x14ac:dyDescent="0.35">
      <c r="A6">
        <v>1012</v>
      </c>
      <c r="B6" s="1">
        <v>44941</v>
      </c>
      <c r="C6" s="1" t="str">
        <f>TEXT(Table1[Order Date],"mmm")</f>
        <v>Jan</v>
      </c>
      <c r="D6" s="1">
        <v>44941</v>
      </c>
      <c r="E6" t="s">
        <v>30</v>
      </c>
      <c r="F6" t="s">
        <v>60</v>
      </c>
      <c r="G6" t="s">
        <v>16</v>
      </c>
      <c r="H6" t="str">
        <f t="shared" si="0"/>
        <v>Headphones</v>
      </c>
      <c r="I6" t="s">
        <v>11</v>
      </c>
      <c r="J6">
        <v>50</v>
      </c>
      <c r="K6" t="str">
        <f t="shared" si="1"/>
        <v>Sold</v>
      </c>
      <c r="L6">
        <v>50</v>
      </c>
      <c r="M6">
        <v>250</v>
      </c>
      <c r="N6" t="s">
        <v>24</v>
      </c>
      <c r="O6" t="s">
        <v>25</v>
      </c>
    </row>
    <row r="7" spans="1:15" x14ac:dyDescent="0.35">
      <c r="A7">
        <v>1013</v>
      </c>
      <c r="B7" s="1">
        <v>44942</v>
      </c>
      <c r="C7" s="1" t="str">
        <f>TEXT(Table1[Order Date],"mmm")</f>
        <v>Jan</v>
      </c>
      <c r="D7" s="1">
        <v>44942</v>
      </c>
      <c r="E7" t="s">
        <v>31</v>
      </c>
      <c r="F7" t="s">
        <v>57</v>
      </c>
      <c r="G7" t="s">
        <v>20</v>
      </c>
      <c r="H7" t="str">
        <f t="shared" si="0"/>
        <v>Laptop</v>
      </c>
      <c r="I7" t="s">
        <v>11</v>
      </c>
      <c r="J7">
        <v>1</v>
      </c>
      <c r="K7" t="str">
        <f t="shared" si="1"/>
        <v>Sold</v>
      </c>
      <c r="L7">
        <v>850</v>
      </c>
      <c r="M7">
        <v>850</v>
      </c>
      <c r="N7" t="s">
        <v>24</v>
      </c>
      <c r="O7" t="s">
        <v>25</v>
      </c>
    </row>
    <row r="8" spans="1:15" x14ac:dyDescent="0.35">
      <c r="A8">
        <v>1014</v>
      </c>
      <c r="B8" s="1">
        <v>44943</v>
      </c>
      <c r="C8" s="1" t="str">
        <f>TEXT(Table1[Order Date],"mmm")</f>
        <v>Jan</v>
      </c>
      <c r="D8" s="1">
        <v>44943</v>
      </c>
      <c r="E8" t="s">
        <v>13</v>
      </c>
      <c r="F8" t="s">
        <v>58</v>
      </c>
      <c r="G8" t="s">
        <v>26</v>
      </c>
      <c r="H8" t="str">
        <f t="shared" si="0"/>
        <v>Phone</v>
      </c>
      <c r="I8" t="s">
        <v>11</v>
      </c>
      <c r="J8">
        <v>1</v>
      </c>
      <c r="K8" t="str">
        <f t="shared" si="1"/>
        <v>Sold</v>
      </c>
      <c r="L8">
        <v>500</v>
      </c>
      <c r="M8">
        <v>500</v>
      </c>
      <c r="N8" t="s">
        <v>12</v>
      </c>
      <c r="O8" t="s">
        <v>25</v>
      </c>
    </row>
    <row r="9" spans="1:15" x14ac:dyDescent="0.35">
      <c r="A9">
        <v>1015</v>
      </c>
      <c r="B9" s="1">
        <v>44944</v>
      </c>
      <c r="C9" s="1" t="str">
        <f>TEXT(Table1[Order Date],"mmm")</f>
        <v>Jan</v>
      </c>
      <c r="D9" s="1">
        <v>44944</v>
      </c>
      <c r="E9" t="s">
        <v>27</v>
      </c>
      <c r="F9" t="s">
        <v>59</v>
      </c>
      <c r="G9" t="s">
        <v>28</v>
      </c>
      <c r="H9" t="str">
        <f t="shared" si="0"/>
        <v>Tablet</v>
      </c>
      <c r="I9" t="s">
        <v>11</v>
      </c>
      <c r="J9">
        <v>2</v>
      </c>
      <c r="K9" t="str">
        <f t="shared" si="1"/>
        <v>Sold</v>
      </c>
      <c r="L9">
        <v>300</v>
      </c>
      <c r="M9">
        <v>600</v>
      </c>
      <c r="N9" t="s">
        <v>29</v>
      </c>
      <c r="O9" t="s">
        <v>17</v>
      </c>
    </row>
    <row r="10" spans="1:15" x14ac:dyDescent="0.35">
      <c r="A10">
        <v>1016</v>
      </c>
      <c r="B10" s="1">
        <v>44945</v>
      </c>
      <c r="C10" s="1" t="str">
        <f>TEXT(Table1[Order Date],"mmm")</f>
        <v>Jan</v>
      </c>
      <c r="D10" s="1">
        <v>44945</v>
      </c>
      <c r="E10" t="s">
        <v>30</v>
      </c>
      <c r="F10" t="s">
        <v>60</v>
      </c>
      <c r="G10" t="s">
        <v>16</v>
      </c>
      <c r="H10" t="str">
        <f t="shared" si="0"/>
        <v>Headphones</v>
      </c>
      <c r="I10" t="s">
        <v>11</v>
      </c>
      <c r="J10">
        <v>3</v>
      </c>
      <c r="K10" t="str">
        <f t="shared" si="1"/>
        <v>Sold</v>
      </c>
      <c r="L10">
        <v>50</v>
      </c>
      <c r="M10">
        <v>150</v>
      </c>
      <c r="N10" t="s">
        <v>24</v>
      </c>
      <c r="O10" t="s">
        <v>25</v>
      </c>
    </row>
    <row r="11" spans="1:15" x14ac:dyDescent="0.35">
      <c r="A11">
        <v>1017</v>
      </c>
      <c r="B11" s="1">
        <v>44946</v>
      </c>
      <c r="C11" s="1" t="str">
        <f>TEXT(Table1[Order Date],"mmm")</f>
        <v>Jan</v>
      </c>
      <c r="D11" s="1">
        <v>44946</v>
      </c>
      <c r="E11" t="s">
        <v>31</v>
      </c>
      <c r="F11" t="s">
        <v>57</v>
      </c>
      <c r="G11" t="s">
        <v>20</v>
      </c>
      <c r="H11" t="str">
        <f t="shared" si="0"/>
        <v>Laptop</v>
      </c>
      <c r="I11" t="s">
        <v>11</v>
      </c>
      <c r="J11">
        <v>1</v>
      </c>
      <c r="K11" t="str">
        <f t="shared" si="1"/>
        <v>Sold</v>
      </c>
      <c r="L11">
        <v>850</v>
      </c>
      <c r="M11">
        <v>850</v>
      </c>
      <c r="N11" t="s">
        <v>24</v>
      </c>
      <c r="O11" t="s">
        <v>25</v>
      </c>
    </row>
    <row r="12" spans="1:15" x14ac:dyDescent="0.35">
      <c r="A12">
        <v>1018</v>
      </c>
      <c r="B12" s="1">
        <v>44947</v>
      </c>
      <c r="C12" s="1" t="str">
        <f>TEXT(Table1[Order Date],"mmm")</f>
        <v>Jan</v>
      </c>
      <c r="D12" s="1">
        <v>44947</v>
      </c>
      <c r="E12" t="s">
        <v>34</v>
      </c>
      <c r="F12" t="s">
        <v>59</v>
      </c>
      <c r="G12" t="s">
        <v>28</v>
      </c>
      <c r="H12" t="str">
        <f t="shared" si="0"/>
        <v>Tablet</v>
      </c>
      <c r="I12" t="s">
        <v>11</v>
      </c>
      <c r="J12">
        <v>2</v>
      </c>
      <c r="K12" t="str">
        <f t="shared" si="1"/>
        <v>Sold</v>
      </c>
      <c r="L12">
        <v>300</v>
      </c>
      <c r="M12">
        <v>600</v>
      </c>
      <c r="N12" t="s">
        <v>29</v>
      </c>
      <c r="O12" t="s">
        <v>25</v>
      </c>
    </row>
    <row r="13" spans="1:15" x14ac:dyDescent="0.35">
      <c r="A13">
        <v>1019</v>
      </c>
      <c r="B13" s="1">
        <v>44948</v>
      </c>
      <c r="C13" s="1" t="str">
        <f>TEXT(Table1[Order Date],"mmm")</f>
        <v>Jan</v>
      </c>
      <c r="D13" s="1">
        <v>44948</v>
      </c>
      <c r="E13" t="s">
        <v>36</v>
      </c>
      <c r="F13" t="s">
        <v>60</v>
      </c>
      <c r="G13" t="s">
        <v>26</v>
      </c>
      <c r="H13" t="str">
        <f t="shared" si="0"/>
        <v>Phone</v>
      </c>
      <c r="I13" t="s">
        <v>11</v>
      </c>
      <c r="J13">
        <v>1</v>
      </c>
      <c r="K13" t="str">
        <f t="shared" si="1"/>
        <v>Sold</v>
      </c>
      <c r="L13">
        <v>500</v>
      </c>
      <c r="M13">
        <v>500</v>
      </c>
      <c r="N13" t="s">
        <v>12</v>
      </c>
      <c r="O13" t="s">
        <v>25</v>
      </c>
    </row>
    <row r="14" spans="1:15" x14ac:dyDescent="0.35">
      <c r="A14">
        <v>1020</v>
      </c>
      <c r="B14" s="1">
        <v>44949</v>
      </c>
      <c r="C14" s="1" t="str">
        <f>TEXT(Table1[Order Date],"mmm")</f>
        <v>Jan</v>
      </c>
      <c r="D14" s="1">
        <v>44949</v>
      </c>
      <c r="E14" t="s">
        <v>23</v>
      </c>
      <c r="F14" t="s">
        <v>57</v>
      </c>
      <c r="G14" t="s">
        <v>20</v>
      </c>
      <c r="H14" t="str">
        <f t="shared" si="0"/>
        <v>Laptop</v>
      </c>
      <c r="I14" t="s">
        <v>11</v>
      </c>
      <c r="J14">
        <v>2</v>
      </c>
      <c r="K14" t="str">
        <f t="shared" si="1"/>
        <v>Sold</v>
      </c>
      <c r="L14">
        <v>850</v>
      </c>
      <c r="M14">
        <v>1700</v>
      </c>
      <c r="N14" t="s">
        <v>24</v>
      </c>
      <c r="O14" t="s">
        <v>25</v>
      </c>
    </row>
    <row r="15" spans="1:15" x14ac:dyDescent="0.35">
      <c r="A15">
        <v>1021</v>
      </c>
      <c r="B15" s="1">
        <v>44950</v>
      </c>
      <c r="C15" s="1" t="str">
        <f>TEXT(Table1[Order Date],"mmm")</f>
        <v>Jan</v>
      </c>
      <c r="D15" s="1">
        <v>44950</v>
      </c>
      <c r="E15" t="s">
        <v>13</v>
      </c>
      <c r="F15" t="s">
        <v>58</v>
      </c>
      <c r="G15" t="s">
        <v>26</v>
      </c>
      <c r="H15" t="str">
        <f t="shared" si="0"/>
        <v>Phone</v>
      </c>
      <c r="I15" t="s">
        <v>11</v>
      </c>
      <c r="J15">
        <v>1</v>
      </c>
      <c r="K15" t="str">
        <f t="shared" si="1"/>
        <v>Sold</v>
      </c>
      <c r="L15">
        <v>500</v>
      </c>
      <c r="M15">
        <v>500</v>
      </c>
      <c r="N15" t="s">
        <v>12</v>
      </c>
      <c r="O15" t="s">
        <v>25</v>
      </c>
    </row>
    <row r="16" spans="1:15" x14ac:dyDescent="0.35">
      <c r="A16">
        <v>1022</v>
      </c>
      <c r="B16" s="1">
        <v>44951</v>
      </c>
      <c r="C16" s="1" t="str">
        <f>TEXT(Table1[Order Date],"mmm")</f>
        <v>Jan</v>
      </c>
      <c r="D16" s="1">
        <v>44951</v>
      </c>
      <c r="E16" t="s">
        <v>27</v>
      </c>
      <c r="F16" t="s">
        <v>59</v>
      </c>
      <c r="G16" t="s">
        <v>28</v>
      </c>
      <c r="H16" t="str">
        <f t="shared" si="0"/>
        <v>Tablet</v>
      </c>
      <c r="I16" t="s">
        <v>11</v>
      </c>
      <c r="J16">
        <v>2</v>
      </c>
      <c r="K16" t="str">
        <f t="shared" si="1"/>
        <v>Sold</v>
      </c>
      <c r="L16">
        <v>300</v>
      </c>
      <c r="M16">
        <v>600</v>
      </c>
      <c r="N16" t="s">
        <v>29</v>
      </c>
      <c r="O16" t="s">
        <v>25</v>
      </c>
    </row>
    <row r="17" spans="1:15" x14ac:dyDescent="0.35">
      <c r="A17">
        <v>1023</v>
      </c>
      <c r="B17" s="1">
        <v>44952</v>
      </c>
      <c r="C17" s="1" t="str">
        <f>TEXT(Table1[Order Date],"mmm")</f>
        <v>Jan</v>
      </c>
      <c r="D17" s="1">
        <v>44952</v>
      </c>
      <c r="E17" t="s">
        <v>30</v>
      </c>
      <c r="F17" t="s">
        <v>60</v>
      </c>
      <c r="G17" t="s">
        <v>16</v>
      </c>
      <c r="H17" t="str">
        <f t="shared" si="0"/>
        <v>Headphones</v>
      </c>
      <c r="I17" t="s">
        <v>11</v>
      </c>
      <c r="J17">
        <v>3</v>
      </c>
      <c r="K17" t="str">
        <f t="shared" si="1"/>
        <v>Sold</v>
      </c>
      <c r="L17">
        <v>50</v>
      </c>
      <c r="M17">
        <v>150</v>
      </c>
      <c r="N17" t="s">
        <v>24</v>
      </c>
      <c r="O17" t="s">
        <v>25</v>
      </c>
    </row>
    <row r="18" spans="1:15" x14ac:dyDescent="0.35">
      <c r="A18">
        <v>1024</v>
      </c>
      <c r="B18" s="1">
        <v>44953</v>
      </c>
      <c r="C18" s="1" t="str">
        <f>TEXT(Table1[Order Date],"mmm")</f>
        <v>Jan</v>
      </c>
      <c r="D18" s="1">
        <v>44953</v>
      </c>
      <c r="E18" t="s">
        <v>31</v>
      </c>
      <c r="F18" t="s">
        <v>57</v>
      </c>
      <c r="G18" t="s">
        <v>20</v>
      </c>
      <c r="H18" t="str">
        <f t="shared" si="0"/>
        <v>Laptop</v>
      </c>
      <c r="I18" t="s">
        <v>11</v>
      </c>
      <c r="J18">
        <v>1</v>
      </c>
      <c r="K18" t="str">
        <f t="shared" si="1"/>
        <v>Sold</v>
      </c>
      <c r="L18">
        <v>850</v>
      </c>
      <c r="M18">
        <v>850</v>
      </c>
      <c r="N18" t="s">
        <v>24</v>
      </c>
      <c r="O18" t="s">
        <v>25</v>
      </c>
    </row>
    <row r="19" spans="1:15" x14ac:dyDescent="0.35">
      <c r="A19">
        <v>1025</v>
      </c>
      <c r="B19" s="1">
        <v>44954</v>
      </c>
      <c r="C19" s="1" t="str">
        <f>TEXT(Table1[Order Date],"mmm")</f>
        <v>Jan</v>
      </c>
      <c r="D19" s="1">
        <v>44954</v>
      </c>
      <c r="E19" t="s">
        <v>34</v>
      </c>
      <c r="F19" t="s">
        <v>59</v>
      </c>
      <c r="G19" t="s">
        <v>28</v>
      </c>
      <c r="H19" t="str">
        <f t="shared" si="0"/>
        <v>Tablet</v>
      </c>
      <c r="I19" t="s">
        <v>11</v>
      </c>
      <c r="J19">
        <v>2</v>
      </c>
      <c r="K19" t="str">
        <f t="shared" si="1"/>
        <v>Sold</v>
      </c>
      <c r="L19">
        <v>300</v>
      </c>
      <c r="M19">
        <v>600</v>
      </c>
      <c r="N19" t="s">
        <v>29</v>
      </c>
      <c r="O19" t="s">
        <v>25</v>
      </c>
    </row>
    <row r="20" spans="1:15" x14ac:dyDescent="0.35">
      <c r="A20">
        <v>1026</v>
      </c>
      <c r="B20" s="1">
        <v>44955</v>
      </c>
      <c r="C20" s="1" t="str">
        <f>TEXT(Table1[Order Date],"mmm")</f>
        <v>Jan</v>
      </c>
      <c r="D20" s="1">
        <v>44955</v>
      </c>
      <c r="E20" t="s">
        <v>36</v>
      </c>
      <c r="F20" t="s">
        <v>60</v>
      </c>
      <c r="G20" t="s">
        <v>26</v>
      </c>
      <c r="H20" t="str">
        <f t="shared" si="0"/>
        <v>Phone</v>
      </c>
      <c r="I20" t="s">
        <v>11</v>
      </c>
      <c r="J20">
        <v>1</v>
      </c>
      <c r="K20" t="str">
        <f t="shared" si="1"/>
        <v>Sold</v>
      </c>
      <c r="L20">
        <v>500</v>
      </c>
      <c r="M20">
        <v>500</v>
      </c>
      <c r="N20" t="s">
        <v>12</v>
      </c>
      <c r="O20" t="s">
        <v>25</v>
      </c>
    </row>
    <row r="21" spans="1:15" x14ac:dyDescent="0.35">
      <c r="A21">
        <v>1001</v>
      </c>
      <c r="B21" s="1">
        <v>45047</v>
      </c>
      <c r="C21" s="1" t="str">
        <f>TEXT(Table1[Order Date],"mmm")</f>
        <v>May</v>
      </c>
      <c r="D21" s="1">
        <v>45047</v>
      </c>
      <c r="E21" t="s">
        <v>23</v>
      </c>
      <c r="F21" t="s">
        <v>57</v>
      </c>
      <c r="G21" t="s">
        <v>20</v>
      </c>
      <c r="H21" t="str">
        <f t="shared" si="0"/>
        <v>Laptop</v>
      </c>
      <c r="I21" t="s">
        <v>11</v>
      </c>
      <c r="J21">
        <v>2</v>
      </c>
      <c r="K21" t="str">
        <f t="shared" si="1"/>
        <v>Sold</v>
      </c>
      <c r="L21">
        <v>850</v>
      </c>
      <c r="M21">
        <v>1700</v>
      </c>
      <c r="N21" t="s">
        <v>24</v>
      </c>
      <c r="O21" t="s">
        <v>25</v>
      </c>
    </row>
    <row r="22" spans="1:15" x14ac:dyDescent="0.35">
      <c r="A22">
        <v>1002</v>
      </c>
      <c r="B22" s="1">
        <v>45078</v>
      </c>
      <c r="C22" s="1" t="str">
        <f>TEXT(Table1[Order Date],"mmm")</f>
        <v>Jun</v>
      </c>
      <c r="D22" s="1">
        <v>45078</v>
      </c>
      <c r="E22" t="s">
        <v>13</v>
      </c>
      <c r="F22" t="s">
        <v>58</v>
      </c>
      <c r="G22" t="s">
        <v>26</v>
      </c>
      <c r="H22" t="str">
        <f t="shared" si="0"/>
        <v>Phone</v>
      </c>
      <c r="I22" t="s">
        <v>11</v>
      </c>
      <c r="J22">
        <v>1</v>
      </c>
      <c r="K22" t="str">
        <f t="shared" si="1"/>
        <v>Sold</v>
      </c>
      <c r="L22">
        <v>500</v>
      </c>
      <c r="M22">
        <v>500</v>
      </c>
      <c r="N22" t="s">
        <v>12</v>
      </c>
      <c r="O22" t="s">
        <v>25</v>
      </c>
    </row>
    <row r="23" spans="1:15" x14ac:dyDescent="0.35">
      <c r="A23">
        <v>1003</v>
      </c>
      <c r="B23" s="1">
        <v>45108</v>
      </c>
      <c r="C23" s="1" t="str">
        <f>TEXT(Table1[Order Date],"mmm")</f>
        <v>Jul</v>
      </c>
      <c r="D23" s="1">
        <v>45108</v>
      </c>
      <c r="E23" t="s">
        <v>27</v>
      </c>
      <c r="F23" t="s">
        <v>59</v>
      </c>
      <c r="G23" t="s">
        <v>28</v>
      </c>
      <c r="H23" t="str">
        <f t="shared" si="0"/>
        <v>Tablet</v>
      </c>
      <c r="I23" t="s">
        <v>11</v>
      </c>
      <c r="J23">
        <v>3</v>
      </c>
      <c r="K23" t="str">
        <f t="shared" si="1"/>
        <v>Sold</v>
      </c>
      <c r="L23">
        <v>300</v>
      </c>
      <c r="M23">
        <v>900</v>
      </c>
      <c r="N23" t="s">
        <v>29</v>
      </c>
      <c r="O23" t="s">
        <v>17</v>
      </c>
    </row>
    <row r="24" spans="1:15" x14ac:dyDescent="0.35">
      <c r="A24">
        <v>1005</v>
      </c>
      <c r="B24" s="1">
        <v>45170</v>
      </c>
      <c r="C24" s="1" t="str">
        <f>TEXT(Table1[Order Date],"mmm")</f>
        <v>Sep</v>
      </c>
      <c r="D24" s="1">
        <v>45170</v>
      </c>
      <c r="E24" t="s">
        <v>31</v>
      </c>
      <c r="F24" t="s">
        <v>57</v>
      </c>
      <c r="G24" t="s">
        <v>20</v>
      </c>
      <c r="H24" t="str">
        <f t="shared" si="0"/>
        <v>Laptop</v>
      </c>
      <c r="I24" t="s">
        <v>11</v>
      </c>
      <c r="J24">
        <v>1</v>
      </c>
      <c r="K24" t="str">
        <f t="shared" si="1"/>
        <v>Sold</v>
      </c>
      <c r="L24">
        <v>850</v>
      </c>
      <c r="M24">
        <v>850</v>
      </c>
      <c r="N24" t="s">
        <v>61</v>
      </c>
      <c r="O24" t="s">
        <v>25</v>
      </c>
    </row>
    <row r="25" spans="1:15" x14ac:dyDescent="0.35">
      <c r="A25">
        <v>1006</v>
      </c>
      <c r="B25" s="1">
        <v>45200</v>
      </c>
      <c r="C25" s="1" t="str">
        <f>TEXT(Table1[Order Date],"mmm")</f>
        <v>Oct</v>
      </c>
      <c r="D25" s="1">
        <v>45200</v>
      </c>
      <c r="E25" t="s">
        <v>55</v>
      </c>
      <c r="F25" t="s">
        <v>58</v>
      </c>
      <c r="G25" t="s">
        <v>26</v>
      </c>
      <c r="H25" t="str">
        <f t="shared" si="0"/>
        <v>Phone</v>
      </c>
      <c r="I25" t="s">
        <v>11</v>
      </c>
      <c r="J25">
        <v>2</v>
      </c>
      <c r="K25" t="str">
        <f t="shared" si="1"/>
        <v>Sold</v>
      </c>
      <c r="L25">
        <v>500</v>
      </c>
      <c r="M25">
        <v>1000</v>
      </c>
      <c r="N25" t="s">
        <v>12</v>
      </c>
      <c r="O25" t="s">
        <v>32</v>
      </c>
    </row>
    <row r="26" spans="1:15" x14ac:dyDescent="0.35">
      <c r="A26">
        <v>1007</v>
      </c>
      <c r="B26" s="1">
        <v>45231</v>
      </c>
      <c r="C26" s="1" t="str">
        <f>TEXT(Table1[Order Date],"mmm")</f>
        <v>Nov</v>
      </c>
      <c r="D26" s="1">
        <v>45231</v>
      </c>
      <c r="E26" t="s">
        <v>34</v>
      </c>
      <c r="F26" t="s">
        <v>59</v>
      </c>
      <c r="G26" t="s">
        <v>55</v>
      </c>
      <c r="H26" t="str">
        <f t="shared" si="0"/>
        <v>Unknown</v>
      </c>
      <c r="I26" t="s">
        <v>11</v>
      </c>
      <c r="J26">
        <v>1</v>
      </c>
      <c r="K26" t="str">
        <f t="shared" si="1"/>
        <v>Sold</v>
      </c>
      <c r="L26">
        <v>300</v>
      </c>
      <c r="M26">
        <v>300</v>
      </c>
      <c r="N26" t="s">
        <v>29</v>
      </c>
      <c r="O26" t="s">
        <v>25</v>
      </c>
    </row>
    <row r="27" spans="1:15" x14ac:dyDescent="0.35">
      <c r="A27">
        <v>1009</v>
      </c>
      <c r="B27" s="1">
        <v>45261</v>
      </c>
      <c r="C27" s="1" t="str">
        <f>TEXT(Table1[Order Date],"mmm")</f>
        <v>Dec</v>
      </c>
      <c r="D27" s="1">
        <v>45261</v>
      </c>
      <c r="E27" t="s">
        <v>23</v>
      </c>
      <c r="F27" t="s">
        <v>57</v>
      </c>
      <c r="G27" t="s">
        <v>20</v>
      </c>
      <c r="H27" t="str">
        <f t="shared" si="0"/>
        <v>Laptop</v>
      </c>
      <c r="I27" t="s">
        <v>11</v>
      </c>
      <c r="J27">
        <v>-1</v>
      </c>
      <c r="K27" t="str">
        <f t="shared" si="1"/>
        <v>Returned</v>
      </c>
      <c r="L27">
        <v>850</v>
      </c>
      <c r="M27">
        <v>-850</v>
      </c>
      <c r="N27" t="s">
        <v>24</v>
      </c>
      <c r="O27" t="s">
        <v>19</v>
      </c>
    </row>
  </sheetData>
  <phoneticPr fontId="1"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547B1-4529-43B1-9417-E7F12A6052F8}">
  <dimension ref="A3:P37"/>
  <sheetViews>
    <sheetView zoomScale="69" zoomScaleNormal="69" workbookViewId="0">
      <selection activeCell="N23" sqref="N23"/>
    </sheetView>
  </sheetViews>
  <sheetFormatPr defaultRowHeight="14.5" x14ac:dyDescent="0.35"/>
  <cols>
    <col min="1" max="1" width="13.26953125" bestFit="1" customWidth="1"/>
    <col min="2" max="3" width="16.08984375" bestFit="1" customWidth="1"/>
    <col min="4" max="5" width="4.81640625" bestFit="1" customWidth="1"/>
    <col min="6" max="7" width="3.81640625" bestFit="1" customWidth="1"/>
    <col min="8" max="8" width="10.7265625" bestFit="1" customWidth="1"/>
    <col min="14" max="14" width="13.26953125" bestFit="1" customWidth="1"/>
    <col min="15" max="15" width="16.36328125" bestFit="1" customWidth="1"/>
    <col min="16" max="16" width="12.7265625" bestFit="1" customWidth="1"/>
    <col min="17" max="40" width="4.81640625" bestFit="1" customWidth="1"/>
    <col min="41" max="41" width="10.7265625" bestFit="1" customWidth="1"/>
  </cols>
  <sheetData>
    <row r="3" spans="1:15" x14ac:dyDescent="0.35">
      <c r="A3" s="2" t="s">
        <v>63</v>
      </c>
      <c r="B3" t="s">
        <v>62</v>
      </c>
    </row>
    <row r="4" spans="1:15" x14ac:dyDescent="0.35">
      <c r="A4" s="3" t="s">
        <v>58</v>
      </c>
      <c r="B4">
        <v>3000</v>
      </c>
    </row>
    <row r="5" spans="1:15" x14ac:dyDescent="0.35">
      <c r="A5" s="3" t="s">
        <v>59</v>
      </c>
      <c r="B5">
        <v>4200</v>
      </c>
    </row>
    <row r="6" spans="1:15" x14ac:dyDescent="0.35">
      <c r="A6" s="3" t="s">
        <v>60</v>
      </c>
      <c r="B6">
        <v>2400</v>
      </c>
      <c r="N6" s="2" t="s">
        <v>63</v>
      </c>
      <c r="O6" t="s">
        <v>65</v>
      </c>
    </row>
    <row r="7" spans="1:15" x14ac:dyDescent="0.35">
      <c r="A7" s="3" t="s">
        <v>57</v>
      </c>
      <c r="B7">
        <v>5950</v>
      </c>
      <c r="N7" s="3" t="s">
        <v>12</v>
      </c>
      <c r="O7">
        <v>7</v>
      </c>
    </row>
    <row r="8" spans="1:15" x14ac:dyDescent="0.35">
      <c r="A8" s="3" t="s">
        <v>64</v>
      </c>
      <c r="B8">
        <v>15550</v>
      </c>
      <c r="N8" s="3" t="s">
        <v>24</v>
      </c>
      <c r="O8">
        <v>11</v>
      </c>
    </row>
    <row r="9" spans="1:15" x14ac:dyDescent="0.35">
      <c r="N9" s="3" t="s">
        <v>29</v>
      </c>
      <c r="O9">
        <v>7</v>
      </c>
    </row>
    <row r="10" spans="1:15" x14ac:dyDescent="0.35">
      <c r="N10" s="3" t="s">
        <v>61</v>
      </c>
      <c r="O10">
        <v>1</v>
      </c>
    </row>
    <row r="11" spans="1:15" x14ac:dyDescent="0.35">
      <c r="N11" s="3" t="s">
        <v>64</v>
      </c>
      <c r="O11">
        <v>26</v>
      </c>
    </row>
    <row r="24" spans="1:16" x14ac:dyDescent="0.35">
      <c r="A24" s="2" t="s">
        <v>63</v>
      </c>
      <c r="B24" t="s">
        <v>62</v>
      </c>
    </row>
    <row r="25" spans="1:16" x14ac:dyDescent="0.35">
      <c r="A25" s="3" t="s">
        <v>16</v>
      </c>
      <c r="B25">
        <v>800</v>
      </c>
    </row>
    <row r="26" spans="1:16" x14ac:dyDescent="0.35">
      <c r="A26" s="3" t="s">
        <v>20</v>
      </c>
      <c r="B26">
        <v>5950</v>
      </c>
    </row>
    <row r="27" spans="1:16" x14ac:dyDescent="0.35">
      <c r="A27" s="3" t="s">
        <v>26</v>
      </c>
      <c r="B27">
        <v>4000</v>
      </c>
    </row>
    <row r="28" spans="1:16" x14ac:dyDescent="0.35">
      <c r="A28" s="3" t="s">
        <v>28</v>
      </c>
      <c r="B28">
        <v>4500</v>
      </c>
      <c r="O28" s="2" t="s">
        <v>63</v>
      </c>
      <c r="P28" t="s">
        <v>75</v>
      </c>
    </row>
    <row r="29" spans="1:16" x14ac:dyDescent="0.35">
      <c r="A29" s="3" t="s">
        <v>55</v>
      </c>
      <c r="B29">
        <v>300</v>
      </c>
      <c r="O29" s="3" t="s">
        <v>66</v>
      </c>
      <c r="P29">
        <v>11150</v>
      </c>
    </row>
    <row r="30" spans="1:16" x14ac:dyDescent="0.35">
      <c r="A30" s="3" t="s">
        <v>64</v>
      </c>
      <c r="B30">
        <v>15550</v>
      </c>
      <c r="O30" s="3" t="s">
        <v>67</v>
      </c>
      <c r="P30">
        <v>1700</v>
      </c>
    </row>
    <row r="31" spans="1:16" x14ac:dyDescent="0.35">
      <c r="O31" s="3" t="s">
        <v>68</v>
      </c>
      <c r="P31">
        <v>500</v>
      </c>
    </row>
    <row r="32" spans="1:16" x14ac:dyDescent="0.35">
      <c r="O32" s="3" t="s">
        <v>69</v>
      </c>
      <c r="P32">
        <v>900</v>
      </c>
    </row>
    <row r="33" spans="15:16" x14ac:dyDescent="0.35">
      <c r="O33" s="3" t="s">
        <v>70</v>
      </c>
      <c r="P33">
        <v>850</v>
      </c>
    </row>
    <row r="34" spans="15:16" x14ac:dyDescent="0.35">
      <c r="O34" s="3" t="s">
        <v>71</v>
      </c>
      <c r="P34">
        <v>1000</v>
      </c>
    </row>
    <row r="35" spans="15:16" x14ac:dyDescent="0.35">
      <c r="O35" s="3" t="s">
        <v>72</v>
      </c>
      <c r="P35">
        <v>300</v>
      </c>
    </row>
    <row r="36" spans="15:16" x14ac:dyDescent="0.35">
      <c r="O36" s="3" t="s">
        <v>73</v>
      </c>
      <c r="P36">
        <v>-850</v>
      </c>
    </row>
    <row r="37" spans="15:16" x14ac:dyDescent="0.35">
      <c r="O37" s="3" t="s">
        <v>64</v>
      </c>
      <c r="P37">
        <v>15550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82EAA-AA7F-441D-8DB2-9A29E822D458}">
  <dimension ref="A1:T6"/>
  <sheetViews>
    <sheetView showGridLines="0" tabSelected="1" zoomScale="59" zoomScaleNormal="59" workbookViewId="0">
      <selection activeCell="Y22" sqref="Y22"/>
    </sheetView>
  </sheetViews>
  <sheetFormatPr defaultRowHeight="14.5" x14ac:dyDescent="0.35"/>
  <sheetData>
    <row r="1" spans="1:20" x14ac:dyDescent="0.35">
      <c r="A1" s="4" t="s">
        <v>76</v>
      </c>
      <c r="B1" s="5"/>
      <c r="C1" s="5"/>
      <c r="D1" s="5"/>
      <c r="E1" s="5"/>
      <c r="F1" s="5"/>
      <c r="G1" s="5"/>
      <c r="H1" s="5"/>
      <c r="I1" s="5"/>
      <c r="J1" s="5"/>
      <c r="K1" s="5"/>
      <c r="L1" s="5"/>
      <c r="M1" s="5"/>
      <c r="N1" s="5"/>
      <c r="O1" s="5"/>
      <c r="P1" s="5"/>
      <c r="Q1" s="5"/>
      <c r="R1" s="5"/>
      <c r="S1" s="5"/>
      <c r="T1" s="5"/>
    </row>
    <row r="2" spans="1:20" x14ac:dyDescent="0.35">
      <c r="A2" s="5"/>
      <c r="B2" s="5"/>
      <c r="C2" s="5"/>
      <c r="D2" s="5"/>
      <c r="E2" s="5"/>
      <c r="F2" s="5"/>
      <c r="G2" s="5"/>
      <c r="H2" s="5"/>
      <c r="I2" s="5"/>
      <c r="J2" s="5"/>
      <c r="K2" s="5"/>
      <c r="L2" s="5"/>
      <c r="M2" s="5"/>
      <c r="N2" s="5"/>
      <c r="O2" s="5"/>
      <c r="P2" s="5"/>
      <c r="Q2" s="5"/>
      <c r="R2" s="5"/>
      <c r="S2" s="5"/>
      <c r="T2" s="5"/>
    </row>
    <row r="3" spans="1:20" x14ac:dyDescent="0.35">
      <c r="A3" s="5"/>
      <c r="B3" s="5"/>
      <c r="C3" s="5"/>
      <c r="D3" s="5"/>
      <c r="E3" s="5"/>
      <c r="F3" s="5"/>
      <c r="G3" s="5"/>
      <c r="H3" s="5"/>
      <c r="I3" s="5"/>
      <c r="J3" s="5"/>
      <c r="K3" s="5"/>
      <c r="L3" s="5"/>
      <c r="M3" s="5"/>
      <c r="N3" s="5"/>
      <c r="O3" s="5"/>
      <c r="P3" s="5"/>
      <c r="Q3" s="5"/>
      <c r="R3" s="5"/>
      <c r="S3" s="5"/>
      <c r="T3" s="5"/>
    </row>
    <row r="4" spans="1:20" x14ac:dyDescent="0.35">
      <c r="A4" s="5"/>
      <c r="B4" s="5"/>
      <c r="C4" s="5"/>
      <c r="D4" s="5"/>
      <c r="E4" s="5"/>
      <c r="F4" s="5"/>
      <c r="G4" s="5"/>
      <c r="H4" s="5"/>
      <c r="I4" s="5"/>
      <c r="J4" s="5"/>
      <c r="K4" s="5"/>
      <c r="L4" s="5"/>
      <c r="M4" s="5"/>
      <c r="N4" s="5"/>
      <c r="O4" s="5"/>
      <c r="P4" s="5"/>
      <c r="Q4" s="5"/>
      <c r="R4" s="5"/>
      <c r="S4" s="5"/>
      <c r="T4" s="5"/>
    </row>
    <row r="5" spans="1:20" x14ac:dyDescent="0.35">
      <c r="A5" s="5"/>
      <c r="B5" s="5"/>
      <c r="C5" s="5"/>
      <c r="D5" s="5"/>
      <c r="E5" s="5"/>
      <c r="F5" s="5"/>
      <c r="G5" s="5"/>
      <c r="H5" s="5"/>
      <c r="I5" s="5"/>
      <c r="J5" s="5"/>
      <c r="K5" s="5"/>
      <c r="L5" s="5"/>
      <c r="M5" s="5"/>
      <c r="N5" s="5"/>
      <c r="O5" s="5"/>
      <c r="P5" s="5"/>
      <c r="Q5" s="5"/>
      <c r="R5" s="5"/>
      <c r="S5" s="5"/>
      <c r="T5" s="5"/>
    </row>
    <row r="6" spans="1:20" x14ac:dyDescent="0.35">
      <c r="A6" s="5"/>
      <c r="B6" s="5"/>
      <c r="C6" s="5"/>
      <c r="D6" s="5"/>
      <c r="E6" s="5"/>
      <c r="F6" s="5"/>
      <c r="G6" s="5"/>
      <c r="H6" s="5"/>
      <c r="I6" s="5"/>
      <c r="J6" s="5"/>
      <c r="K6" s="5"/>
      <c r="L6" s="5"/>
      <c r="M6" s="5"/>
      <c r="N6" s="5"/>
      <c r="O6" s="5"/>
      <c r="P6" s="5"/>
      <c r="Q6" s="5"/>
      <c r="R6" s="5"/>
      <c r="S6" s="5"/>
      <c r="T6" s="5"/>
    </row>
  </sheetData>
  <mergeCells count="1">
    <mergeCell ref="A1:T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Record sales table</vt:lpstr>
      <vt:lpstr>Cleaned data</vt:lpstr>
      <vt:lpstr>Pivot Table</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AGUNWA</dc:creator>
  <cp:lastModifiedBy>Precious Agunwa</cp:lastModifiedBy>
  <dcterms:created xsi:type="dcterms:W3CDTF">2026-04-25T02:35:25Z</dcterms:created>
  <dcterms:modified xsi:type="dcterms:W3CDTF">2026-04-28T10:49:27Z</dcterms:modified>
</cp:coreProperties>
</file>